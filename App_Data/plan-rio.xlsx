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igitaltechco-my.sharepoint.com/personal/sruiz_digitaltechcolombia_com/Documents/"/>
    </mc:Choice>
  </mc:AlternateContent>
  <xr:revisionPtr revIDLastSave="1" documentId="11_7053B9FE9B4CFF6856ACCC5A3D39E6B0384F296E" xr6:coauthVersionLast="47" xr6:coauthVersionMax="47" xr10:uidLastSave="{76F6A71F-32DB-461B-86D5-A1194AB82773}"/>
  <bookViews>
    <workbookView xWindow="-110" yWindow="-110" windowWidth="19420" windowHeight="11500" firstSheet="1" activeTab="5" xr2:uid="{00000000-000D-0000-FFFF-FFFF00000000}"/>
  </bookViews>
  <sheets>
    <sheet name="Dashboard" sheetId="1" r:id="rId1"/>
    <sheet name="Plan diario" sheetId="2" r:id="rId2"/>
    <sheet name="Semanas" sheetId="3" r:id="rId3"/>
    <sheet name="Tests &amp; Resultados" sheetId="4" r:id="rId4"/>
    <sheet name="Zonas &amp; Notas" sheetId="5" r:id="rId5"/>
    <sheet name="Plan Rio ajustado" sheetId="6" r:id="rId6"/>
    <sheet name="Resumen 70.3" sheetId="7" r:id="rId7"/>
    <sheet name="Nutrición y pacing" sheetId="8" r:id="rId8"/>
    <sheet name="Fuen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5" i="6" l="1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N28" i="3"/>
  <c r="I28" i="3"/>
  <c r="H28" i="3"/>
  <c r="G28" i="3"/>
  <c r="F28" i="3"/>
  <c r="E28" i="3"/>
  <c r="I27" i="3"/>
  <c r="H27" i="3"/>
  <c r="G27" i="3"/>
  <c r="F27" i="3"/>
  <c r="E27" i="3"/>
  <c r="L26" i="3"/>
  <c r="I26" i="3"/>
  <c r="H26" i="3"/>
  <c r="G26" i="3"/>
  <c r="F26" i="3"/>
  <c r="E26" i="3"/>
  <c r="I25" i="3"/>
  <c r="H25" i="3"/>
  <c r="G25" i="3"/>
  <c r="F25" i="3"/>
  <c r="E25" i="3"/>
  <c r="O25" i="3" s="1"/>
  <c r="K24" i="3"/>
  <c r="I24" i="3"/>
  <c r="H24" i="3"/>
  <c r="G24" i="3"/>
  <c r="F24" i="3"/>
  <c r="E24" i="3"/>
  <c r="I23" i="3"/>
  <c r="H23" i="3"/>
  <c r="G23" i="3"/>
  <c r="F23" i="3"/>
  <c r="E23" i="3"/>
  <c r="I22" i="3"/>
  <c r="H22" i="3"/>
  <c r="G22" i="3"/>
  <c r="F22" i="3"/>
  <c r="E22" i="3"/>
  <c r="I21" i="3"/>
  <c r="H21" i="3"/>
  <c r="G21" i="3"/>
  <c r="F21" i="3"/>
  <c r="E21" i="3"/>
  <c r="K20" i="3"/>
  <c r="I20" i="3"/>
  <c r="H20" i="3"/>
  <c r="G20" i="3"/>
  <c r="F20" i="3"/>
  <c r="E20" i="3"/>
  <c r="I19" i="3"/>
  <c r="H19" i="3"/>
  <c r="G19" i="3"/>
  <c r="F19" i="3"/>
  <c r="E19" i="3"/>
  <c r="J18" i="3"/>
  <c r="I18" i="3"/>
  <c r="H18" i="3"/>
  <c r="G18" i="3"/>
  <c r="F18" i="3"/>
  <c r="E18" i="3"/>
  <c r="O18" i="3" s="1"/>
  <c r="K17" i="3"/>
  <c r="I17" i="3"/>
  <c r="H17" i="3"/>
  <c r="G17" i="3"/>
  <c r="F17" i="3"/>
  <c r="E17" i="3"/>
  <c r="N16" i="3"/>
  <c r="I16" i="3"/>
  <c r="H16" i="3"/>
  <c r="G16" i="3"/>
  <c r="F16" i="3"/>
  <c r="E16" i="3"/>
  <c r="N15" i="3"/>
  <c r="K15" i="3"/>
  <c r="I15" i="3"/>
  <c r="H15" i="3"/>
  <c r="G15" i="3"/>
  <c r="F15" i="3"/>
  <c r="E15" i="3"/>
  <c r="N14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N9" i="3"/>
  <c r="I9" i="3"/>
  <c r="H9" i="3"/>
  <c r="G9" i="3"/>
  <c r="F9" i="3"/>
  <c r="E9" i="3"/>
  <c r="L8" i="3"/>
  <c r="I8" i="3"/>
  <c r="H8" i="3"/>
  <c r="G8" i="3"/>
  <c r="F8" i="3"/>
  <c r="E8" i="3"/>
  <c r="I7" i="3"/>
  <c r="H7" i="3"/>
  <c r="G7" i="3"/>
  <c r="F7" i="3"/>
  <c r="E7" i="3"/>
  <c r="O7" i="3" s="1"/>
  <c r="I6" i="3"/>
  <c r="H6" i="3"/>
  <c r="G6" i="3"/>
  <c r="F6" i="3"/>
  <c r="E6" i="3"/>
  <c r="I5" i="3"/>
  <c r="H5" i="3"/>
  <c r="G5" i="3"/>
  <c r="F5" i="3"/>
  <c r="E5" i="3"/>
  <c r="I4" i="3"/>
  <c r="H4" i="3"/>
  <c r="G4" i="3"/>
  <c r="F4" i="3"/>
  <c r="E4" i="3"/>
  <c r="M3" i="3"/>
  <c r="I3" i="3"/>
  <c r="H3" i="3"/>
  <c r="G3" i="3"/>
  <c r="F3" i="3"/>
  <c r="E3" i="3"/>
  <c r="I2" i="3"/>
  <c r="H2" i="3"/>
  <c r="G2" i="3"/>
  <c r="F2" i="3"/>
  <c r="E2" i="3"/>
  <c r="W295" i="2"/>
  <c r="W294" i="2"/>
  <c r="W293" i="2"/>
  <c r="W292" i="2"/>
  <c r="W291" i="2"/>
  <c r="W290" i="2"/>
  <c r="L28" i="3" s="1"/>
  <c r="W289" i="2"/>
  <c r="K28" i="3" s="1"/>
  <c r="W288" i="2"/>
  <c r="W287" i="2"/>
  <c r="M28" i="3" s="1"/>
  <c r="W286" i="2"/>
  <c r="W285" i="2"/>
  <c r="M27" i="3" s="1"/>
  <c r="W284" i="2"/>
  <c r="N27" i="3" s="1"/>
  <c r="W283" i="2"/>
  <c r="W282" i="2"/>
  <c r="W281" i="2"/>
  <c r="W280" i="2"/>
  <c r="W279" i="2"/>
  <c r="L27" i="3" s="1"/>
  <c r="W278" i="2"/>
  <c r="K27" i="3" s="1"/>
  <c r="W277" i="2"/>
  <c r="W276" i="2"/>
  <c r="J27" i="3" s="1"/>
  <c r="W275" i="2"/>
  <c r="W274" i="2"/>
  <c r="W273" i="2"/>
  <c r="W272" i="2"/>
  <c r="W271" i="2"/>
  <c r="W270" i="2"/>
  <c r="W269" i="2"/>
  <c r="W268" i="2"/>
  <c r="W267" i="2"/>
  <c r="K26" i="3" s="1"/>
  <c r="W266" i="2"/>
  <c r="M26" i="3" s="1"/>
  <c r="W265" i="2"/>
  <c r="N26" i="3" s="1"/>
  <c r="W264" i="2"/>
  <c r="W263" i="2"/>
  <c r="W262" i="2"/>
  <c r="W261" i="2"/>
  <c r="W260" i="2"/>
  <c r="W259" i="2"/>
  <c r="W258" i="2"/>
  <c r="W257" i="2"/>
  <c r="L25" i="3" s="1"/>
  <c r="W256" i="2"/>
  <c r="K25" i="3" s="1"/>
  <c r="W255" i="2"/>
  <c r="M25" i="3" s="1"/>
  <c r="W254" i="2"/>
  <c r="J25" i="3" s="1"/>
  <c r="W253" i="2"/>
  <c r="W252" i="2"/>
  <c r="W251" i="2"/>
  <c r="W250" i="2"/>
  <c r="W249" i="2"/>
  <c r="W248" i="2"/>
  <c r="L24" i="3" s="1"/>
  <c r="W247" i="2"/>
  <c r="W246" i="2"/>
  <c r="W245" i="2"/>
  <c r="W244" i="2"/>
  <c r="M24" i="3" s="1"/>
  <c r="W243" i="2"/>
  <c r="N24" i="3" s="1"/>
  <c r="W242" i="2"/>
  <c r="W241" i="2"/>
  <c r="W240" i="2"/>
  <c r="W239" i="2"/>
  <c r="W238" i="2"/>
  <c r="W237" i="2"/>
  <c r="W236" i="2"/>
  <c r="M23" i="3" s="1"/>
  <c r="W235" i="2"/>
  <c r="L23" i="3" s="1"/>
  <c r="W234" i="2"/>
  <c r="K23" i="3" s="1"/>
  <c r="W233" i="2"/>
  <c r="W232" i="2"/>
  <c r="N23" i="3" s="1"/>
  <c r="W231" i="2"/>
  <c r="W230" i="2"/>
  <c r="W229" i="2"/>
  <c r="W228" i="2"/>
  <c r="W227" i="2"/>
  <c r="W226" i="2"/>
  <c r="W225" i="2"/>
  <c r="M22" i="3" s="1"/>
  <c r="W224" i="2"/>
  <c r="L22" i="3" s="1"/>
  <c r="W223" i="2"/>
  <c r="K22" i="3" s="1"/>
  <c r="W222" i="2"/>
  <c r="W221" i="2"/>
  <c r="N22" i="3" s="1"/>
  <c r="W220" i="2"/>
  <c r="W219" i="2"/>
  <c r="W218" i="2"/>
  <c r="W217" i="2"/>
  <c r="W216" i="2"/>
  <c r="W215" i="2"/>
  <c r="W214" i="2"/>
  <c r="W213" i="2"/>
  <c r="L21" i="3" s="1"/>
  <c r="W212" i="2"/>
  <c r="K21" i="3" s="1"/>
  <c r="W211" i="2"/>
  <c r="M21" i="3" s="1"/>
  <c r="W210" i="2"/>
  <c r="N21" i="3" s="1"/>
  <c r="W209" i="2"/>
  <c r="W208" i="2"/>
  <c r="W207" i="2"/>
  <c r="W206" i="2"/>
  <c r="W205" i="2"/>
  <c r="W204" i="2"/>
  <c r="W203" i="2"/>
  <c r="W202" i="2"/>
  <c r="L20" i="3" s="1"/>
  <c r="W201" i="2"/>
  <c r="W200" i="2"/>
  <c r="J20" i="3" s="1"/>
  <c r="O20" i="3" s="1"/>
  <c r="W199" i="2"/>
  <c r="N20" i="3" s="1"/>
  <c r="W198" i="2"/>
  <c r="W197" i="2"/>
  <c r="W196" i="2"/>
  <c r="W195" i="2"/>
  <c r="K19" i="3" s="1"/>
  <c r="W194" i="2"/>
  <c r="W193" i="2"/>
  <c r="L19" i="3" s="1"/>
  <c r="W192" i="2"/>
  <c r="W191" i="2"/>
  <c r="W190" i="2"/>
  <c r="W189" i="2"/>
  <c r="M19" i="3" s="1"/>
  <c r="W188" i="2"/>
  <c r="N19" i="3" s="1"/>
  <c r="W187" i="2"/>
  <c r="W186" i="2"/>
  <c r="W185" i="2"/>
  <c r="N18" i="3" s="1"/>
  <c r="W184" i="2"/>
  <c r="W183" i="2"/>
  <c r="W182" i="2"/>
  <c r="W181" i="2"/>
  <c r="W180" i="2"/>
  <c r="L18" i="3" s="1"/>
  <c r="W179" i="2"/>
  <c r="K18" i="3" s="1"/>
  <c r="W178" i="2"/>
  <c r="M18" i="3" s="1"/>
  <c r="W177" i="2"/>
  <c r="W176" i="2"/>
  <c r="W175" i="2"/>
  <c r="W174" i="2"/>
  <c r="W173" i="2"/>
  <c r="W172" i="2"/>
  <c r="W171" i="2"/>
  <c r="W170" i="2"/>
  <c r="W169" i="2"/>
  <c r="L17" i="3" s="1"/>
  <c r="W168" i="2"/>
  <c r="W167" i="2"/>
  <c r="M17" i="3" s="1"/>
  <c r="W166" i="2"/>
  <c r="N17" i="3" s="1"/>
  <c r="W165" i="2"/>
  <c r="W164" i="2"/>
  <c r="W163" i="2"/>
  <c r="W162" i="2"/>
  <c r="W161" i="2"/>
  <c r="W160" i="2"/>
  <c r="W159" i="2"/>
  <c r="W158" i="2"/>
  <c r="L16" i="3" s="1"/>
  <c r="W157" i="2"/>
  <c r="K16" i="3" s="1"/>
  <c r="W156" i="2"/>
  <c r="M16" i="3" s="1"/>
  <c r="W155" i="2"/>
  <c r="W154" i="2"/>
  <c r="W153" i="2"/>
  <c r="W152" i="2"/>
  <c r="W151" i="2"/>
  <c r="W150" i="2"/>
  <c r="W149" i="2"/>
  <c r="L15" i="3" s="1"/>
  <c r="W148" i="2"/>
  <c r="M15" i="3" s="1"/>
  <c r="W147" i="2"/>
  <c r="W146" i="2"/>
  <c r="W145" i="2"/>
  <c r="W144" i="2"/>
  <c r="J15" i="3" s="1"/>
  <c r="O15" i="3" s="1"/>
  <c r="W143" i="2"/>
  <c r="L14" i="3" s="1"/>
  <c r="W142" i="2"/>
  <c r="W141" i="2"/>
  <c r="W140" i="2"/>
  <c r="W139" i="2"/>
  <c r="M14" i="3" s="1"/>
  <c r="W138" i="2"/>
  <c r="W137" i="2"/>
  <c r="W136" i="2"/>
  <c r="W135" i="2"/>
  <c r="K14" i="3" s="1"/>
  <c r="W134" i="2"/>
  <c r="W133" i="2"/>
  <c r="W132" i="2"/>
  <c r="W131" i="2"/>
  <c r="W130" i="2"/>
  <c r="W129" i="2"/>
  <c r="W128" i="2"/>
  <c r="W127" i="2"/>
  <c r="W126" i="2"/>
  <c r="W125" i="2"/>
  <c r="L13" i="3" s="1"/>
  <c r="W124" i="2"/>
  <c r="K13" i="3" s="1"/>
  <c r="W123" i="2"/>
  <c r="M13" i="3" s="1"/>
  <c r="W122" i="2"/>
  <c r="N13" i="3" s="1"/>
  <c r="W121" i="2"/>
  <c r="W120" i="2"/>
  <c r="W119" i="2"/>
  <c r="W118" i="2"/>
  <c r="W117" i="2"/>
  <c r="W116" i="2"/>
  <c r="W115" i="2"/>
  <c r="W114" i="2"/>
  <c r="L12" i="3" s="1"/>
  <c r="W113" i="2"/>
  <c r="K12" i="3" s="1"/>
  <c r="W112" i="2"/>
  <c r="M12" i="3" s="1"/>
  <c r="W111" i="2"/>
  <c r="J12" i="3" s="1"/>
  <c r="O12" i="3" s="1"/>
  <c r="W110" i="2"/>
  <c r="W109" i="2"/>
  <c r="W108" i="2"/>
  <c r="W107" i="2"/>
  <c r="W106" i="2"/>
  <c r="W105" i="2"/>
  <c r="W104" i="2"/>
  <c r="W103" i="2"/>
  <c r="L11" i="3" s="1"/>
  <c r="W102" i="2"/>
  <c r="K11" i="3" s="1"/>
  <c r="W101" i="2"/>
  <c r="M11" i="3" s="1"/>
  <c r="W100" i="2"/>
  <c r="N11" i="3" s="1"/>
  <c r="W99" i="2"/>
  <c r="W98" i="2"/>
  <c r="W97" i="2"/>
  <c r="W96" i="2"/>
  <c r="W95" i="2"/>
  <c r="W94" i="2"/>
  <c r="L10" i="3" s="1"/>
  <c r="W93" i="2"/>
  <c r="W92" i="2"/>
  <c r="W91" i="2"/>
  <c r="K10" i="3" s="1"/>
  <c r="W90" i="2"/>
  <c r="M10" i="3" s="1"/>
  <c r="W89" i="2"/>
  <c r="N10" i="3" s="1"/>
  <c r="W88" i="2"/>
  <c r="W87" i="2"/>
  <c r="W86" i="2"/>
  <c r="W85" i="2"/>
  <c r="W84" i="2"/>
  <c r="W83" i="2"/>
  <c r="W82" i="2"/>
  <c r="L9" i="3" s="1"/>
  <c r="W81" i="2"/>
  <c r="K9" i="3" s="1"/>
  <c r="W80" i="2"/>
  <c r="M9" i="3" s="1"/>
  <c r="W79" i="2"/>
  <c r="J9" i="3" s="1"/>
  <c r="W78" i="2"/>
  <c r="W77" i="2"/>
  <c r="W76" i="2"/>
  <c r="W75" i="2"/>
  <c r="W74" i="2"/>
  <c r="W73" i="2"/>
  <c r="W72" i="2"/>
  <c r="W71" i="2"/>
  <c r="W70" i="2"/>
  <c r="K8" i="3" s="1"/>
  <c r="W69" i="2"/>
  <c r="M8" i="3" s="1"/>
  <c r="W68" i="2"/>
  <c r="N8" i="3" s="1"/>
  <c r="W67" i="2"/>
  <c r="W66" i="2"/>
  <c r="W65" i="2"/>
  <c r="W64" i="2"/>
  <c r="W63" i="2"/>
  <c r="W62" i="2"/>
  <c r="W61" i="2"/>
  <c r="W60" i="2"/>
  <c r="L7" i="3" s="1"/>
  <c r="W59" i="2"/>
  <c r="K7" i="3" s="1"/>
  <c r="W58" i="2"/>
  <c r="M7" i="3" s="1"/>
  <c r="W57" i="2"/>
  <c r="J7" i="3" s="1"/>
  <c r="W56" i="2"/>
  <c r="W55" i="2"/>
  <c r="W54" i="2"/>
  <c r="W53" i="2"/>
  <c r="W52" i="2"/>
  <c r="W51" i="2"/>
  <c r="W50" i="2"/>
  <c r="W49" i="2"/>
  <c r="L6" i="3" s="1"/>
  <c r="W48" i="2"/>
  <c r="K6" i="3" s="1"/>
  <c r="W47" i="2"/>
  <c r="M6" i="3" s="1"/>
  <c r="W46" i="2"/>
  <c r="N6" i="3" s="1"/>
  <c r="W45" i="2"/>
  <c r="W44" i="2"/>
  <c r="W43" i="2"/>
  <c r="W42" i="2"/>
  <c r="W41" i="2"/>
  <c r="W40" i="2"/>
  <c r="W39" i="2"/>
  <c r="M5" i="3" s="1"/>
  <c r="W38" i="2"/>
  <c r="L5" i="3" s="1"/>
  <c r="W37" i="2"/>
  <c r="K5" i="3" s="1"/>
  <c r="W36" i="2"/>
  <c r="W35" i="2"/>
  <c r="N5" i="3" s="1"/>
  <c r="W34" i="2"/>
  <c r="W33" i="2"/>
  <c r="W32" i="2"/>
  <c r="W31" i="2"/>
  <c r="W30" i="2"/>
  <c r="W29" i="2"/>
  <c r="W28" i="2"/>
  <c r="W27" i="2"/>
  <c r="L4" i="3" s="1"/>
  <c r="W26" i="2"/>
  <c r="K4" i="3" s="1"/>
  <c r="W25" i="2"/>
  <c r="M4" i="3" s="1"/>
  <c r="W24" i="2"/>
  <c r="N4" i="3" s="1"/>
  <c r="W23" i="2"/>
  <c r="W22" i="2"/>
  <c r="W21" i="2"/>
  <c r="W20" i="2"/>
  <c r="W19" i="2"/>
  <c r="W18" i="2"/>
  <c r="W17" i="2"/>
  <c r="W16" i="2"/>
  <c r="L3" i="3" s="1"/>
  <c r="W15" i="2"/>
  <c r="K3" i="3" s="1"/>
  <c r="W14" i="2"/>
  <c r="W13" i="2"/>
  <c r="N3" i="3" s="1"/>
  <c r="W12" i="2"/>
  <c r="W11" i="2"/>
  <c r="W10" i="2"/>
  <c r="W9" i="2"/>
  <c r="W8" i="2"/>
  <c r="W7" i="2"/>
  <c r="W6" i="2"/>
  <c r="W5" i="2"/>
  <c r="L2" i="3" s="1"/>
  <c r="W4" i="2"/>
  <c r="K2" i="3" s="1"/>
  <c r="W3" i="2"/>
  <c r="J2" i="3" s="1"/>
  <c r="W2" i="2"/>
  <c r="N2" i="3" s="1"/>
  <c r="B8" i="1"/>
  <c r="O19" i="3" l="1"/>
  <c r="O27" i="3"/>
  <c r="B9" i="1"/>
  <c r="O2" i="3"/>
  <c r="B10" i="1" s="1"/>
  <c r="O9" i="3"/>
  <c r="M2" i="3"/>
  <c r="J17" i="3"/>
  <c r="O17" i="3" s="1"/>
  <c r="M20" i="3"/>
  <c r="J4" i="3"/>
  <c r="O4" i="3" s="1"/>
  <c r="J22" i="3"/>
  <c r="O22" i="3" s="1"/>
  <c r="N7" i="3"/>
  <c r="N25" i="3"/>
  <c r="N12" i="3"/>
  <c r="J14" i="3"/>
  <c r="O14" i="3" s="1"/>
  <c r="J19" i="3"/>
  <c r="J6" i="3"/>
  <c r="O6" i="3" s="1"/>
  <c r="J24" i="3"/>
  <c r="O24" i="3" s="1"/>
  <c r="J16" i="3"/>
  <c r="O16" i="3" s="1"/>
  <c r="J11" i="3"/>
  <c r="O11" i="3" s="1"/>
  <c r="J3" i="3"/>
  <c r="O3" i="3" s="1"/>
  <c r="J21" i="3"/>
  <c r="O21" i="3" s="1"/>
  <c r="J8" i="3"/>
  <c r="O8" i="3" s="1"/>
  <c r="J26" i="3"/>
  <c r="O26" i="3" s="1"/>
  <c r="J13" i="3"/>
  <c r="O13" i="3" s="1"/>
  <c r="J5" i="3"/>
  <c r="O5" i="3" s="1"/>
  <c r="J23" i="3"/>
  <c r="O23" i="3" s="1"/>
  <c r="J10" i="3"/>
  <c r="O10" i="3" s="1"/>
  <c r="J28" i="3"/>
  <c r="O28" i="3" s="1"/>
</calcChain>
</file>

<file path=xl/sharedStrings.xml><?xml version="1.0" encoding="utf-8"?>
<sst xmlns="http://schemas.openxmlformats.org/spreadsheetml/2006/main" count="4367" uniqueCount="1152">
  <si>
    <t>Plan 70.3 Río — Seguimiento</t>
  </si>
  <si>
    <t>FTP actual (W):</t>
  </si>
  <si>
    <t>Meta 70.3:</t>
  </si>
  <si>
    <t>Sub 5:30</t>
  </si>
  <si>
    <t>Regla clave:</t>
  </si>
  <si>
    <t>Z2 real + tempo sostenido; Z4/Z5 dosificado</t>
  </si>
  <si>
    <t>Semana</t>
  </si>
  <si>
    <t>Horas plan (semana)</t>
  </si>
  <si>
    <t>Horas reales (semana)</t>
  </si>
  <si>
    <t>% cumplimiento</t>
  </si>
  <si>
    <t>Fecha</t>
  </si>
  <si>
    <t>Día</t>
  </si>
  <si>
    <t>Inicio semana</t>
  </si>
  <si>
    <t>Fase</t>
  </si>
  <si>
    <t>Disciplina</t>
  </si>
  <si>
    <t>Sesión</t>
  </si>
  <si>
    <t>Objetivo</t>
  </si>
  <si>
    <t>Duración plan (min)</t>
  </si>
  <si>
    <t>Distancia plan</t>
  </si>
  <si>
    <t>Unidad</t>
  </si>
  <si>
    <t>Zona objetivo</t>
  </si>
  <si>
    <t>Indicaciones</t>
  </si>
  <si>
    <t>Estado</t>
  </si>
  <si>
    <t>Duración real (min)</t>
  </si>
  <si>
    <t>Distancia real</t>
  </si>
  <si>
    <t>RPE</t>
  </si>
  <si>
    <t>FC media</t>
  </si>
  <si>
    <t>FC máx</t>
  </si>
  <si>
    <t>Potencia media (W)</t>
  </si>
  <si>
    <t>NP (W)</t>
  </si>
  <si>
    <t>Comentarios</t>
  </si>
  <si>
    <t>Min reales (auto)</t>
  </si>
  <si>
    <t>Lunes</t>
  </si>
  <si>
    <t>Base específica (semana 1)</t>
  </si>
  <si>
    <t>Fuerza</t>
  </si>
  <si>
    <t>Fuerza tren inferior</t>
  </si>
  <si>
    <t>RPE 7–8</t>
  </si>
  <si>
    <t>Sentadilla 4×4, RDL 3×5, step-ups 3×6/lad, core. Sin fallo.</t>
  </si>
  <si>
    <t>Hecho</t>
  </si>
  <si>
    <t>Running</t>
  </si>
  <si>
    <t>Z2 fácil (técnica)</t>
  </si>
  <si>
    <t>Base</t>
  </si>
  <si>
    <t>Z2</t>
  </si>
  <si>
    <t>Conversacional. Control de deriva. Cadencia 170–180.</t>
  </si>
  <si>
    <t>Volviendo a la altura</t>
  </si>
  <si>
    <t>Martes</t>
  </si>
  <si>
    <t>Natación</t>
  </si>
  <si>
    <t>Natación – calidad técnica/CSS</t>
  </si>
  <si>
    <t>Calidad</t>
  </si>
  <si>
    <t>m</t>
  </si>
  <si>
    <t>Z2→CSS</t>
  </si>
  <si>
    <t>300 suave + 6×50 técnica + 10×100 @CSS (20" rec) + 200 suave</t>
  </si>
  <si>
    <t>hecho</t>
  </si>
  <si>
    <t>Bici</t>
  </si>
  <si>
    <t>Bici indoor – Z2</t>
  </si>
  <si>
    <t>Z2 (115–154W)</t>
  </si>
  <si>
    <t>Z2 estable. Cadencia 85–95. Ventilación/ventilador.</t>
  </si>
  <si>
    <t>Miércoles</t>
  </si>
  <si>
    <t>Running – Z2 + strides</t>
  </si>
  <si>
    <t>Base/técnica</t>
  </si>
  <si>
    <t>Z2 + strides</t>
  </si>
  <si>
    <t>30' Z2 + 6×20" strides (40" caminando). Control de deriva.</t>
  </si>
  <si>
    <t>Jueves</t>
  </si>
  <si>
    <t>Z2 estricta, sin “apretar”.</t>
  </si>
  <si>
    <t>Brick run – Z2</t>
  </si>
  <si>
    <t>Muy controlado; primer 5' muy suave.</t>
  </si>
  <si>
    <t>Viernes</t>
  </si>
  <si>
    <t>Natación – simulación aguas abiertas (piscina)</t>
  </si>
  <si>
    <t>Aguas abiertas sim</t>
  </si>
  <si>
    <t>Continuo 1.5–1.8 km con 6–8 'sighting' cada 100–200m.</t>
  </si>
  <si>
    <t>Fuerza tren superior</t>
  </si>
  <si>
    <t>Empuje/tiron + core: press, remos, face pulls, planchas. Sin fatigar demasiado.</t>
  </si>
  <si>
    <t>Pendiente</t>
  </si>
  <si>
    <t>Sábado</t>
  </si>
  <si>
    <t>Running largo – Z2</t>
  </si>
  <si>
    <t>Terreno plano. Conversacional. Técnica y economía.</t>
  </si>
  <si>
    <t>490 desnivel positivo</t>
  </si>
  <si>
    <t>Domingo</t>
  </si>
  <si>
    <t>Bici larga – Z2 + bloques Z3</t>
  </si>
  <si>
    <t>Base/tempo</t>
  </si>
  <si>
    <t>Z2 + Z3 (156–175W)</t>
  </si>
  <si>
    <t>Z2 + 2×8' Z3 (rec 6'). Nutrición 60–70g CH/h + sodio.</t>
  </si>
  <si>
    <t>Base específica (semana 2)</t>
  </si>
  <si>
    <t>hice yoga y estiramiento en vez de gym</t>
  </si>
  <si>
    <t>Z2 + 2×10' Z3 (rec 6'). Nutrición igual.</t>
  </si>
  <si>
    <t>Base específica (semana 3)</t>
  </si>
  <si>
    <t>Running – tempo controlado</t>
  </si>
  <si>
    <t>Tempo</t>
  </si>
  <si>
    <t>Z3 (controlado)</t>
  </si>
  <si>
    <t>15' Z2 + 3×8' Z3 (rec 3' Z2) + 10' suave. No entrar en Z5.</t>
  </si>
  <si>
    <t>yoga en vez de fuerza por dolores y recuperacion</t>
  </si>
  <si>
    <t>Z2 + 3×8' Z3 (rec 6'). Última hora sólida.</t>
  </si>
  <si>
    <t>Descarga (-20–25%)</t>
  </si>
  <si>
    <t>Natación – suave técnica</t>
  </si>
  <si>
    <t>Recuperación</t>
  </si>
  <si>
    <t>Z1–Z2</t>
  </si>
  <si>
    <t>Técnica + continuo fácil</t>
  </si>
  <si>
    <t>Bici indoor – Z2 suave</t>
  </si>
  <si>
    <t>Muy fácil.</t>
  </si>
  <si>
    <t>Running – Z2 fácil + 4 strides</t>
  </si>
  <si>
    <t>25' fácil + 4×20" strides suaves.</t>
  </si>
  <si>
    <t>Z2 cómodo.</t>
  </si>
  <si>
    <t>Brick run – Z1–Z2</t>
  </si>
  <si>
    <t>Solo soltar.</t>
  </si>
  <si>
    <t>Natación – continuo fácil</t>
  </si>
  <si>
    <t>Continuo suave.</t>
  </si>
  <si>
    <t>Más corto.</t>
  </si>
  <si>
    <t>brick despues de natacion</t>
  </si>
  <si>
    <t>Bici larga – Z2</t>
  </si>
  <si>
    <t>Sin bloques Z3.</t>
  </si>
  <si>
    <t>elevacion 481 m</t>
  </si>
  <si>
    <t>Base avanzada</t>
  </si>
  <si>
    <t>Running – tempo</t>
  </si>
  <si>
    <t>Z3</t>
  </si>
  <si>
    <t>15' Z2 + 2×12' Z3 (rec 4') + 10' suave + 4 strides opcional.</t>
  </si>
  <si>
    <t>Bici indoor – sweet spot</t>
  </si>
  <si>
    <t>Umbral aeróbico</t>
  </si>
  <si>
    <t>175–185W</t>
  </si>
  <si>
    <t>10' Z2 + 3×10' sweet spot (rec 5') + 10' suave.</t>
  </si>
  <si>
    <t>Bici larga – Z2 + Z3</t>
  </si>
  <si>
    <t>Z2 + 2×12' Z3</t>
  </si>
  <si>
    <t>Z2 + 2×12' Z3 (rec 8'). Nutrición 70g CH/h.</t>
  </si>
  <si>
    <t>Running – tempo sostenido</t>
  </si>
  <si>
    <t>15' Z2 + 3×10' Z3 (rec 3') + 10' suave.</t>
  </si>
  <si>
    <t>175–188W</t>
  </si>
  <si>
    <t>10' Z2 + 2×15' sweet spot (rec 6') + 10' suave.</t>
  </si>
  <si>
    <t>Z2 (Z3 si FC estable)</t>
  </si>
  <si>
    <t>Z2. Solo si deriva controlada: últimos 10' Z3 suave.</t>
  </si>
  <si>
    <t>Z2 + 3×10' Z3</t>
  </si>
  <si>
    <t>Z2 + 3×10' Z3 (rec 6').</t>
  </si>
  <si>
    <t>Mini‑taper (pre‑olímpico)</t>
  </si>
  <si>
    <t>Natación – activación</t>
  </si>
  <si>
    <t>Activación</t>
  </si>
  <si>
    <t>Técnica + 6×50 alegres (20" rec).</t>
  </si>
  <si>
    <t>Suave.</t>
  </si>
  <si>
    <t>Running – toques Z4 suave</t>
  </si>
  <si>
    <t>Z2 + Z4 suave</t>
  </si>
  <si>
    <t>15' Z2 + 4×4' Z4 suave (rec 3') + 10' suave. No destruirte.</t>
  </si>
  <si>
    <t>Sin sweet spot.</t>
  </si>
  <si>
    <t>Corto.</t>
  </si>
  <si>
    <t>Natación – suave</t>
  </si>
  <si>
    <t>Running – Z2 con strides</t>
  </si>
  <si>
    <t>45' Z2 + 4×20" strides.</t>
  </si>
  <si>
    <t>Bici – Z2</t>
  </si>
  <si>
    <t>90–120' fácil.</t>
  </si>
  <si>
    <t>Carrera Olímpico (25‑Mar)</t>
  </si>
  <si>
    <t>Fuerza tren inferior (ligera)</t>
  </si>
  <si>
    <t>RPE 6</t>
  </si>
  <si>
    <t>2×3 sentadilla ligera, 2×4 RDL, movilidad. Sin fatiga.</t>
  </si>
  <si>
    <t>Trote Z2 muy fácil</t>
  </si>
  <si>
    <t>Soltar, control de FC.</t>
  </si>
  <si>
    <t>Natación suave (activación)</t>
  </si>
  <si>
    <t>Técnica + 4×50 alegres.</t>
  </si>
  <si>
    <t>Bici indoor Z2 (abre piernas)</t>
  </si>
  <si>
    <t>Muy controlado. 3×1' a race power opcional.</t>
  </si>
  <si>
    <t>Carrera</t>
  </si>
  <si>
    <t>TRIATLÓN OLÍMPICO (B‑race)</t>
  </si>
  <si>
    <t>Competencia</t>
  </si>
  <si>
    <t>RPE 9</t>
  </si>
  <si>
    <t>Ejecuta pacing. No “morir” en el run. Registra tiempos parciales.</t>
  </si>
  <si>
    <t>Descanso / movilidad</t>
  </si>
  <si>
    <t>Z0</t>
  </si>
  <si>
    <t>Movilidad + caminata ligera. Si estás bien: 20' bici muy suave.</t>
  </si>
  <si>
    <t>Natación suave</t>
  </si>
  <si>
    <t>Continuo fácil.</t>
  </si>
  <si>
    <t>Fuerza tren superior (ligera)</t>
  </si>
  <si>
    <t>Mantenimiento. Sin agujetas.</t>
  </si>
  <si>
    <t>Running Z2</t>
  </si>
  <si>
    <t>Volver a la base. Conversacional.</t>
  </si>
  <si>
    <t>Bici Z2</t>
  </si>
  <si>
    <t>Sin Z3. Recuperación activa.</t>
  </si>
  <si>
    <t>Build 1</t>
  </si>
  <si>
    <t xml:space="preserve">fartlek </t>
  </si>
  <si>
    <t>Miercoles</t>
  </si>
  <si>
    <t>10' Z2 + 3×12' sweet spot (rec 5') + 10' suave.</t>
  </si>
  <si>
    <t>Sabado</t>
  </si>
  <si>
    <t>Z2 + 2×15' Z3</t>
  </si>
  <si>
    <t>Z2 + 2×15' Z3 (rec 8').</t>
  </si>
  <si>
    <t>15' Z2 + 2×15' Z3 (rec 5') + 10' suave.</t>
  </si>
  <si>
    <t>10' Z2 + 2×20' sweet spot (rec 7') + 8' suave.</t>
  </si>
  <si>
    <t>Z2 (Z3 si estable)</t>
  </si>
  <si>
    <t>Z2. Si deriva ok: últimos 15' Z3 suave.</t>
  </si>
  <si>
    <t>Z2 + 3×10' Z3.</t>
  </si>
  <si>
    <t>Running – tempo por bloques</t>
  </si>
  <si>
    <t>15' Z2 + 4×8' Z3 (rec 3') + 8' suave.</t>
  </si>
  <si>
    <t>180–190W</t>
  </si>
  <si>
    <t>10' Z2 + 3×15' sweet spot (rec 6') + 10' suave.</t>
  </si>
  <si>
    <t>119 mts de elevacion</t>
  </si>
  <si>
    <t>Z2 + 2×20' Z3</t>
  </si>
  <si>
    <t>Z2 + 2×20' Z3.</t>
  </si>
  <si>
    <t>Descarga</t>
  </si>
  <si>
    <t>Técnica + continuo fácil.</t>
  </si>
  <si>
    <t>180</t>
  </si>
  <si>
    <t>35' Z2 + 4×20" strides.</t>
  </si>
  <si>
    <t>Natación – continuo</t>
  </si>
  <si>
    <t>Build 2 (70.3 específico)</t>
  </si>
  <si>
    <t>15' Z2 + 3×12' Z3 (rec 3') + 8' suave.</t>
  </si>
  <si>
    <t>Bici indoor – Z3 alto</t>
  </si>
  <si>
    <t>Específico</t>
  </si>
  <si>
    <t>185–195W</t>
  </si>
  <si>
    <t>10' Z2 + 4×10' @185–195W (rec 5') + 10' suave.</t>
  </si>
  <si>
    <t>Brick run – Z2/Z3</t>
  </si>
  <si>
    <t>Z2→Z3 suave</t>
  </si>
  <si>
    <t>20' Z2 + 5' Z3 suave si control.</t>
  </si>
  <si>
    <t>Z2 + 3×15' Z3</t>
  </si>
  <si>
    <t>Z2 + 3×15' Z3.</t>
  </si>
  <si>
    <t>15' Z2 + 2×18' Z3 (rec 5') + 7' suave.</t>
  </si>
  <si>
    <t>Bici indoor – Z3 sostenido</t>
  </si>
  <si>
    <t>10' Z2 + 2×25' @175–185W (rec 8') + 10' suave.</t>
  </si>
  <si>
    <t>Z2 (Z3 si control)</t>
  </si>
  <si>
    <t>Z2; últimos 20' Z3 suave solo si deriva estable.</t>
  </si>
  <si>
    <t>Z2 + 2×25' Z3</t>
  </si>
  <si>
    <t>Z2 + 2×25' Z3.</t>
  </si>
  <si>
    <t>Running – intervalos controlados</t>
  </si>
  <si>
    <t>VO2 suave</t>
  </si>
  <si>
    <t>Z4 suave</t>
  </si>
  <si>
    <t>15' Z2 + 5×6' Z4 suave (rec 3') + 10' suave.</t>
  </si>
  <si>
    <t>10' Z2 + 3×15' @185–195W (rec 6') + 10' suave.</t>
  </si>
  <si>
    <t>Bici larga – Z2 + Z3 continuo</t>
  </si>
  <si>
    <t>Z2 + 40' Z3 continuo</t>
  </si>
  <si>
    <t>Z2 + 1×40' Z3 continuo (165–175W) dentro de la sesión.</t>
  </si>
  <si>
    <t>Específico 70.3 (resistencia al km 60)</t>
  </si>
  <si>
    <t>15' Z2 + 3×15' Z3 (rec 4') + 6' suave.</t>
  </si>
  <si>
    <t>Bici indoor – bloques largos race power</t>
  </si>
  <si>
    <t>170–180W</t>
  </si>
  <si>
    <t>10' Z2 + 3×20' @170–180W (rec 6') + 5' suave.</t>
  </si>
  <si>
    <t>Z2; últimos 30' a Z3 suave solo si FC estable.</t>
  </si>
  <si>
    <t>Bici larga – Z2 + 2×30' race power</t>
  </si>
  <si>
    <t>Z2 + race power</t>
  </si>
  <si>
    <t>Z2 + 2×30' @165–175W (rec 10'). Nutrición 80g CH/h.</t>
  </si>
  <si>
    <t>15' Z2 + 3×15' Z3 (rec 3') + 6' suave.</t>
  </si>
  <si>
    <t>Bici indoor – 2×30' race power</t>
  </si>
  <si>
    <t>10' Z2 + 2×30' @170–180W (rec 10') + 10' suave.</t>
  </si>
  <si>
    <t>Bici larga – Z2 + 60' race power</t>
  </si>
  <si>
    <t>Z2 + 60' @165–175W</t>
  </si>
  <si>
    <t>Dentro de la sesión mete 1×60' @165–175W.</t>
  </si>
  <si>
    <t>Running – intervalos Z4 suave</t>
  </si>
  <si>
    <t>15' Z2 + 6×5' Z4 suave (rec 2') + 10' suave.</t>
  </si>
  <si>
    <t>10' Z2 + 4×12' sweet spot (rec 5') + 10' suave.</t>
  </si>
  <si>
    <t>Z2 (race feel si control)</t>
  </si>
  <si>
    <t>Z2. Si todo OK: últimos 40' 'race feel' Z3 controlado.</t>
  </si>
  <si>
    <t>Bici larga – Z2 + Z3 acumulado</t>
  </si>
  <si>
    <t>Z2 + 75' Z3 total</t>
  </si>
  <si>
    <t>Acumula 75' en Z3 (p.ej. 3×25').</t>
  </si>
  <si>
    <t>Peak (simulaciones 70.3)</t>
  </si>
  <si>
    <t>15' Z2 + 2×18' Z3 (rec 5') + 10' suave.</t>
  </si>
  <si>
    <t>Bici indoor – race power</t>
  </si>
  <si>
    <t>10' Z2 + 3×20' @170–180W (rec 6') + 10' suave.</t>
  </si>
  <si>
    <t>Running largo – Z2 + race feel</t>
  </si>
  <si>
    <t>Z2 + Z3 controlado</t>
  </si>
  <si>
    <t>30–40' finales a ritmo 70.3 (Z3 controlado).</t>
  </si>
  <si>
    <t>Bici – 90 km / 3h–3h15</t>
  </si>
  <si>
    <t>Simulación</t>
  </si>
  <si>
    <t>Race power</t>
  </si>
  <si>
    <t>90 km con 60 km a 165–175W. Nutrición exacta de carrera.</t>
  </si>
  <si>
    <t>15' Z2 + 3×12' Z3 + suave.</t>
  </si>
  <si>
    <t>10' Z2 + 3×20' @180–190W (rec 6') + 10' suave.</t>
  </si>
  <si>
    <t>Running largo – race feel</t>
  </si>
  <si>
    <t>45' finales a 'race feel' Z3 controlado si deriva ok.</t>
  </si>
  <si>
    <t>Bici larga – Z2 + race power</t>
  </si>
  <si>
    <t>Z2 + 2×35' race power</t>
  </si>
  <si>
    <t>2×35' @165–175W dentro de 4h.</t>
  </si>
  <si>
    <t>Running – tempo ligero</t>
  </si>
  <si>
    <t>Z3 suave</t>
  </si>
  <si>
    <t>15' Z2 + 2×10' Z3 (rec 4') + suave.</t>
  </si>
  <si>
    <t>Bici indoor – activación race power</t>
  </si>
  <si>
    <t>10' Z2 + 2×15' @170–180W + suave.</t>
  </si>
  <si>
    <t>Running – Z2</t>
  </si>
  <si>
    <t>Más suave para llegar fresco al domingo.</t>
  </si>
  <si>
    <t>Simulación grande bici+run</t>
  </si>
  <si>
    <t>Race power + brick</t>
  </si>
  <si>
    <t>Bike 3h00–3h15 con 90' race power + Brick run 50–60' (30' Z2 + 20–30' Z3).</t>
  </si>
  <si>
    <t>Recuperación (-30–40%)</t>
  </si>
  <si>
    <t>Running – Z2 + 4 strides</t>
  </si>
  <si>
    <t>Bici indoor – toques cortos</t>
  </si>
  <si>
    <t>Mantenimiento</t>
  </si>
  <si>
    <t>Z2 + 6×2' Z4 suave</t>
  </si>
  <si>
    <t>10' Z2 + 6×2' Z4 suave (rec 2') + 10' suave.</t>
  </si>
  <si>
    <t>Taper 1 (-25–35%)</t>
  </si>
  <si>
    <t>Natación – calidad corta</t>
  </si>
  <si>
    <t>Taper</t>
  </si>
  <si>
    <t>Técnica + 6×100 @CSS (20") + continuo suave.</t>
  </si>
  <si>
    <t>35' Z2 + 6×20" strides.</t>
  </si>
  <si>
    <t>10' Z2 + 2×15' @race power (rec 6') + suave.</t>
  </si>
  <si>
    <t>Natación – sim aguas abiertas</t>
  </si>
  <si>
    <t>Continuo con sighting.</t>
  </si>
  <si>
    <t>Running – Z2 + 15' Z3 suave</t>
  </si>
  <si>
    <t>Z2 + Z3 suave</t>
  </si>
  <si>
    <t>75' total con 15' Z3 suave.</t>
  </si>
  <si>
    <t>Bici – Z2 con 2×12' Z3</t>
  </si>
  <si>
    <t>Z2 + Z3</t>
  </si>
  <si>
    <t>2h30 Z2 con 2×12' Z3.</t>
  </si>
  <si>
    <t>Taper 2 (-45–55%)</t>
  </si>
  <si>
    <t>Natación – toques alegres</t>
  </si>
  <si>
    <t>Z1–Z2 + 6×100</t>
  </si>
  <si>
    <t>Total 1,500–2,000m. 6×100 alegres (no a tope).</t>
  </si>
  <si>
    <t>30' Z2 + 6×20" strides.</t>
  </si>
  <si>
    <t>Bici indoor – 3×6' race power</t>
  </si>
  <si>
    <t>10' Z2 + 3×6' @race power (rec 4') + suave.</t>
  </si>
  <si>
    <t>Race week (70.3 Río)</t>
  </si>
  <si>
    <t>Trote Z2 25–30'</t>
  </si>
  <si>
    <t>Movilidad</t>
  </si>
  <si>
    <t>Movilidad + activación</t>
  </si>
  <si>
    <t>Caderas, tobillos, espalda.</t>
  </si>
  <si>
    <t>Natación suave + 4×50 alegres</t>
  </si>
  <si>
    <t>Mantener sensación del agua.</t>
  </si>
  <si>
    <t>Bici 45' con 3×2' race power</t>
  </si>
  <si>
    <t>3×2' @170–180W (rec 3') dentro de Z2.</t>
  </si>
  <si>
    <t>Trote 25' + 4×20" strides</t>
  </si>
  <si>
    <t>Z1–Z2 + strides</t>
  </si>
  <si>
    <t>Muy controlado.</t>
  </si>
  <si>
    <t>Natación 20–25' suave</t>
  </si>
  <si>
    <t>Si puedes: 10' mar muy fácil; si no, piscina suave.</t>
  </si>
  <si>
    <t>Activación bici 20'</t>
  </si>
  <si>
    <t>Activación trote 10'</t>
  </si>
  <si>
    <t>Z1</t>
  </si>
  <si>
    <t>IRONMAN 70.3 RÍO – CARRERA</t>
  </si>
  <si>
    <t>RPE 10</t>
  </si>
  <si>
    <t>Ejecuta plan de pacing y nutrición. Registra parciales + sensaciones.</t>
  </si>
  <si>
    <t>Inicio</t>
  </si>
  <si>
    <t>Fin</t>
  </si>
  <si>
    <t>Horas plan</t>
  </si>
  <si>
    <t>Horas plan Nat</t>
  </si>
  <si>
    <t>Horas plan Bici</t>
  </si>
  <si>
    <t>Horas plan Run</t>
  </si>
  <si>
    <t>Horas plan Fuerza</t>
  </si>
  <si>
    <t>Horas reales</t>
  </si>
  <si>
    <t>Horas reales Nat</t>
  </si>
  <si>
    <t>Horas reales Bici</t>
  </si>
  <si>
    <t>Horas reales Run</t>
  </si>
  <si>
    <t>Horas reales Fuerza</t>
  </si>
  <si>
    <t>Prueba</t>
  </si>
  <si>
    <t>Resultado</t>
  </si>
  <si>
    <t>Notas</t>
  </si>
  <si>
    <t>5K running</t>
  </si>
  <si>
    <t>hh:mm:ss</t>
  </si>
  <si>
    <t>Mejor marca informada</t>
  </si>
  <si>
    <t>10K running</t>
  </si>
  <si>
    <t>21K running</t>
  </si>
  <si>
    <t>FTP bici</t>
  </si>
  <si>
    <t>W</t>
  </si>
  <si>
    <t>Test FTP indoor (20')</t>
  </si>
  <si>
    <t>1K natación</t>
  </si>
  <si>
    <t>Piscina</t>
  </si>
  <si>
    <t>Zonas (Bici) — basadas en FTP</t>
  </si>
  <si>
    <t>FTP (W)</t>
  </si>
  <si>
    <t xml:space="preserve"> &lt; 56%</t>
  </si>
  <si>
    <t xml:space="preserve"> &lt; 115 W</t>
  </si>
  <si>
    <t>56–75%</t>
  </si>
  <si>
    <t>115–154 W</t>
  </si>
  <si>
    <t>76–90%</t>
  </si>
  <si>
    <t>156–185 W</t>
  </si>
  <si>
    <t>Z4</t>
  </si>
  <si>
    <t>91–105%</t>
  </si>
  <si>
    <t>187–215 W</t>
  </si>
  <si>
    <t>Regla deriva (running):</t>
  </si>
  <si>
    <t>Si en Z2 la FC sube &gt;5–6% manteniendo ritmo similar → bajar ritmo / revisar calor, hidratación y fatiga.</t>
  </si>
  <si>
    <t>Nutrición base en bici (entrenos largos):</t>
  </si>
  <si>
    <t>70–90 g CH/h (subir gradual), 500–900 mg sodio/h, 500–750 ml/h (más si calor).</t>
  </si>
  <si>
    <t>Strava 02/04/2026 – MyWhoosh - Al Wathba-L; 50:43; 23.28 km; +38 m. Asignado al hueco de marzo.</t>
  </si>
  <si>
    <t>Strava 05/04/2026 – MyWhoosh - City Reef Park; 1:12:08; 30.12 km; +183 m. Asignado al hueco de marzo.</t>
  </si>
  <si>
    <t>Strava 02/04/2026 – Morning Run; 20:01; 3.45 km; +13 m; esfuerzo relativo 26. Asignado al hueco de marzo.</t>
  </si>
  <si>
    <t>Strava 04/04/2026 – Morning Swim; 48:15; 1,025 m; esfuerzo relativo 7. Asignado al hueco de marzo.</t>
  </si>
  <si>
    <t>Strava 03/04/2026 – Morning Run; 1:30:00; 12.81 km; +51 m; esfuerzo relativo 40. Asignado al hueco de marzo.</t>
  </si>
  <si>
    <t>Strava 06/04/2026 – Evening Weight Training; 32:01; esfuerzo relativo 3. Asignado al hueco de marzo.</t>
  </si>
  <si>
    <t>Strava 06/04/2026 – Evening Run; 40:02; 5.56 km; esfuerzo relativo 9. Asignado al hueco de marzo.</t>
  </si>
  <si>
    <t>Strava 07/04/2026 – MyWhoosh - Coffee Trail; 30:10; 13.91 km; +14 m; esfuerzo relativo 4. Asignado al hueco de marzo.</t>
  </si>
  <si>
    <t>Strava 08/04/2026 – Morning Run; 42:40; 6.38 km; +31 m; esfuerzo relativo 12. Asignado al hueco de marzo.</t>
  </si>
  <si>
    <t>Strava 09/04/2026 – MyWhoosh - Al Wathba-L; 59:50; 26.32 km; +41 m; esfuerzo relativo 11. Asignado al hueco de marzo.</t>
  </si>
  <si>
    <t>Strava 11/04/2026 – Lunch Swim; 32:17; 1,500 m; esfuerzo relativo 22. Asignado al hueco de marzo.</t>
  </si>
  <si>
    <t>Strava 10/04/2026 – Afternoon Weight Training; 50:38; esfuerzo relativo 4. Asignado al hueco de marzo.</t>
  </si>
  <si>
    <t>Strava 11/04/2026 – Morning Run; 1:22:43; 13.15 km; +40 m; esfuerzo relativo 40. Asignado al hueco de marzo.</t>
  </si>
  <si>
    <t>Strava 12/04/2026 – ZZ-3; 3:16:27; 92.10 km; +612 m; esfuerzo relativo 97. Asignado al hueco de marzo.</t>
  </si>
  <si>
    <t>Strava 13/04/2026 – Recover z1; 40:00; 5.65 km; esfuerzo relativo 7. Asignado al hueco de marzo.</t>
  </si>
  <si>
    <t>Strava 15/04/2026 – Morning Ride; 40:03; 0 km; esfuerzo relativo 5. Asignado al hueco de marzo.</t>
  </si>
  <si>
    <t>Strava 19/04/2026 – MyWhoosh - Area 52; 1:00:16; 26.00 km; +173 m; esfuerzo relativo 12. Asignado al hueco de marzo.</t>
  </si>
  <si>
    <t>Strava 16/04/2026 – Morning Run; 19:29; 3.96 km; +10 m; esfuerzo relativo 31. Asignado al hueco de marzo.</t>
  </si>
  <si>
    <t>Parcial</t>
  </si>
  <si>
    <t>Strava 18/04/2026 – Afternoon Swim; 3:08; 108 m; esfuerzo relativo 0. Asignado al hueco de marzo como parcial.</t>
  </si>
  <si>
    <t>Strava 19/04/2026 – Evening Run; 33:55; 0.03 km; esfuerzo relativo 2. Asignado al hueco de marzo.</t>
  </si>
  <si>
    <t>Strava 17/04/2026 – Morning Run; 35:00; 6.24 km; +8 m; esfuerzo relativo 28. Asignado al hueco de marzo.</t>
  </si>
  <si>
    <t>Reprogramado</t>
  </si>
  <si>
    <t>Prueba real registrada en fecha exacta 26/04/2026 en la fila del 26/04; no duplicada.</t>
  </si>
  <si>
    <t>Neiva 26/04/2026: natación 1.5 km en 34.5' FC prom 160; bici 40 km a 32.3 km/h (74.3') FC prom 162; running 10 km a 5:50/km (58.3'). Calambres desde natación; golpe/susto elevó FC. Duración sin transiciones: 167.1'.</t>
  </si>
  <si>
    <t>Plan agresivo 70.3 Río de Janeiro — 30 abril a 9 agosto 2026</t>
  </si>
  <si>
    <t>Objetivo: 5:31 h. Estructura: 10–11 h/semana en builds, descargas estratégicas, foco en cramp-proofing, nutrición y carrera post-bici.</t>
  </si>
  <si>
    <t>Semana plan</t>
  </si>
  <si>
    <t>Min</t>
  </si>
  <si>
    <t>Horas</t>
  </si>
  <si>
    <t>Volumen objetivo</t>
  </si>
  <si>
    <t>Intensidad/Zona</t>
  </si>
  <si>
    <t>Detalle</t>
  </si>
  <si>
    <t>Nutrición/Hidratación</t>
  </si>
  <si>
    <t>Duración real</t>
  </si>
  <si>
    <t>Recuperación post-Neiva + reset</t>
  </si>
  <si>
    <t>Rodillo recuperación</t>
  </si>
  <si>
    <t>—</t>
  </si>
  <si>
    <t>Z1–Z2 / 115–145 W</t>
  </si>
  <si>
    <t>Cadencia 90–95, sin bloquear piernas; termina fresco.</t>
  </si>
  <si>
    <t>Agua + 300–500 mg sodio si sudas mucho.</t>
  </si>
  <si>
    <t>Bajar tono muscular post-calambres.</t>
  </si>
  <si>
    <t>Planificado</t>
  </si>
  <si>
    <t>Movilidad + liberación</t>
  </si>
  <si>
    <t>Suave</t>
  </si>
  <si>
    <t>Gemelos, sóleo, flexores de cadera, glúteo medio; respiración nasal 5'.</t>
  </si>
  <si>
    <t>Cena con carbohidrato + proteína.</t>
  </si>
  <si>
    <t>Recuperar rango articular.</t>
  </si>
  <si>
    <t>Técnica y calma en agua</t>
  </si>
  <si>
    <t>1.600–1.800 m</t>
  </si>
  <si>
    <t>300 suave + 8×50 técnica + 6×100 cómodo + 200 suave. Practica exhalación completa.</t>
  </si>
  <si>
    <t>No necesitas gel; hidrátate normal.</t>
  </si>
  <si>
    <t>Eliminar pánico/adrenalina inicial.</t>
  </si>
  <si>
    <t>Prehab calambres</t>
  </si>
  <si>
    <t>RPE 5–6</t>
  </si>
  <si>
    <t>3×12 elevación gemelo recto + 3×12 sóleo rodilla flexionada + puente glúteo + plancha.</t>
  </si>
  <si>
    <t>Proteína en la siguiente comida.</t>
  </si>
  <si>
    <t>Activar pantorrilla y core sin fatigar.</t>
  </si>
  <si>
    <t>Z2 fácil + strides</t>
  </si>
  <si>
    <t>7–8 km aprox</t>
  </si>
  <si>
    <t>Z2 + 6×20”</t>
  </si>
  <si>
    <t>40' conversacional + 6×20” alegres con 60” suave; sin buscar ritmo.</t>
  </si>
  <si>
    <t>Agua; si hace calor 300–500 mg sodio.</t>
  </si>
  <si>
    <t>Reiniciar carrera sin agravar calambres.</t>
  </si>
  <si>
    <t>Bici Z2 de reinicio</t>
  </si>
  <si>
    <t>45–50 km rodillo/ruta</t>
  </si>
  <si>
    <t>Z2 / 125–150 W</t>
  </si>
  <si>
    <t>Mantén presión constante. Últimos 15' a 150–155 W si HR controlada.</t>
  </si>
  <si>
    <t>40–60 g CH/h + 500–700 ml/h.</t>
  </si>
  <si>
    <t>Volver a volumen sin intensidad excesiva.</t>
  </si>
  <si>
    <t>Brick muy fácil</t>
  </si>
  <si>
    <t>2–2,5 km</t>
  </si>
  <si>
    <t>Primeros 5' casi trote; cadencia corta y técnica.</t>
  </si>
  <si>
    <t>Nada extra.</t>
  </si>
  <si>
    <t>Revisar si aparece amago de calambre.</t>
  </si>
  <si>
    <t>Build 1 – técnica + Z2</t>
  </si>
  <si>
    <t>Descanso activo</t>
  </si>
  <si>
    <t>Movilidad general + 10' caminata. Sueño prioritario.</t>
  </si>
  <si>
    <t>Hidratar y comer normal.</t>
  </si>
  <si>
    <t>Absorber recuperación.</t>
  </si>
  <si>
    <t>CSS test controlado</t>
  </si>
  <si>
    <t>2.000 m</t>
  </si>
  <si>
    <t>Test + técnica</t>
  </si>
  <si>
    <t>400 suave + 4×50 técnica + test 400m + 6' rec + test 200m + suave. No salir a tope los primeros 100m.</t>
  </si>
  <si>
    <t>Comida con CH 2–3 h antes.</t>
  </si>
  <si>
    <t>Definir ritmo CSS real y control mental.</t>
  </si>
  <si>
    <t>Rodillo Z2</t>
  </si>
  <si>
    <t>Cadencia 85–95. Sin pasar de Z2.</t>
  </si>
  <si>
    <t>30–45 g CH/h si vas en ayunas o cansado.</t>
  </si>
  <si>
    <t>Base aeróbica limpia.</t>
  </si>
  <si>
    <t>Tempo controlado</t>
  </si>
  <si>
    <t>9–10 km aprox</t>
  </si>
  <si>
    <t>15' Z2 + 4×6' a ritmo cómodo-fuerte (rec 2') + 10' suave.</t>
  </si>
  <si>
    <t>Agua; si calor, sodio.</t>
  </si>
  <si>
    <t>Subir umbral sin cargar demasiado.</t>
  </si>
  <si>
    <t>RPE 7</t>
  </si>
  <si>
    <t>Sentadilla o prensa 4×4, RDL 3×6, step-up 3×6/lad, gemelo pesado 4×6, core.</t>
  </si>
  <si>
    <t>Proteína 25–35 g post.</t>
  </si>
  <si>
    <t>Economía y resistencia neuromuscular.</t>
  </si>
  <si>
    <t>Sweet spot corto</t>
  </si>
  <si>
    <t>3×10' a 165–175 W</t>
  </si>
  <si>
    <t>15' Z2 + 3×10' 165–175 W (5' suave) + 10' Z2.</t>
  </si>
  <si>
    <t>40–60 g CH/h.</t>
  </si>
  <si>
    <t>Construir potencia sostenible.</t>
  </si>
  <si>
    <t>Brick suave</t>
  </si>
  <si>
    <t>2,5 km</t>
  </si>
  <si>
    <t>Trote fácil. Si gemelo carga, caminar 2'.</t>
  </si>
  <si>
    <t>Transición sin calambre.</t>
  </si>
  <si>
    <t>Continuo + sighting</t>
  </si>
  <si>
    <t>1.800–2.000 m</t>
  </si>
  <si>
    <t>3×500 continuo con 6–8 sighting por bloque + técnica al final.</t>
  </si>
  <si>
    <t>Hidratar normal.</t>
  </si>
  <si>
    <t>Simular aguas abiertas.</t>
  </si>
  <si>
    <t>Movilidad corta</t>
  </si>
  <si>
    <t>Cadera, tobillo, sóleo.</t>
  </si>
  <si>
    <t>Llegar fresco al fin de semana.</t>
  </si>
  <si>
    <t>Largo Z2</t>
  </si>
  <si>
    <t>11–13 km aprox</t>
  </si>
  <si>
    <t>Terreno plano; últimos 10' a 5:50–5:55 solo si FC estable.</t>
  </si>
  <si>
    <t>30–40 g CH si sales &gt;70'.</t>
  </si>
  <si>
    <t>Durabilidad de carrera.</t>
  </si>
  <si>
    <t>Bici larga Z2 + race power</t>
  </si>
  <si>
    <t>75–80 km aprox</t>
  </si>
  <si>
    <t>Z2 + 2×15' 155–162 W</t>
  </si>
  <si>
    <t>No perseguir velocidad; postura aero estable. Bloques en la mitad.</t>
  </si>
  <si>
    <t>60–70 g CH/h + 600–800 mg sodio/h.</t>
  </si>
  <si>
    <t>Base específica 70.3.</t>
  </si>
  <si>
    <t>Brick Z2</t>
  </si>
  <si>
    <t>3–3,5 km</t>
  </si>
  <si>
    <t>Arranca muy corto de zancada; ritmo 5:55–6:15 si cómodo.</t>
  </si>
  <si>
    <t>Tomar 20–30 g CH al bajarte.</t>
  </si>
  <si>
    <t>Enseñar piernas a correr después de bici.</t>
  </si>
  <si>
    <t>Build 1 – subida controlada</t>
  </si>
  <si>
    <t>Respiración + movilidad + caminata.</t>
  </si>
  <si>
    <t>Carbohidratos suficientes.</t>
  </si>
  <si>
    <t>Mantener frescura.</t>
  </si>
  <si>
    <t>CSS intervalos</t>
  </si>
  <si>
    <t>2.200 m</t>
  </si>
  <si>
    <t>CSS controlado</t>
  </si>
  <si>
    <t>300 + 8×50 técnica + 12×100 a CSS+3–5"/100 rec 20" + suave.</t>
  </si>
  <si>
    <t>Comida con CH previa.</t>
  </si>
  <si>
    <t>Subir ritmo de nado sin subir ansiedad.</t>
  </si>
  <si>
    <t>Z2 constante, ventilador fuerte, cadencia 90.</t>
  </si>
  <si>
    <t>40–50 g CH/h si vienes cansado.</t>
  </si>
  <si>
    <t>Volumen aeróbico.</t>
  </si>
  <si>
    <t>Tempo 3×10</t>
  </si>
  <si>
    <t>10–11 km aprox</t>
  </si>
  <si>
    <t>15' Z2 + 3×10' a 5:35–5:45/km o RPE 7 (rec 3') + suave.</t>
  </si>
  <si>
    <t>30 g CH antes si fue día largo.</t>
  </si>
  <si>
    <t>Ritmo objetivo sin fatiga excesiva.</t>
  </si>
  <si>
    <t>Fuerza + gemelo</t>
  </si>
  <si>
    <t>Peso muerto rumano 4×5, zancada 3×6/lad, sóleo 4×8, tibial anterior 3×15, core antirotación.</t>
  </si>
  <si>
    <t>Proteína post.</t>
  </si>
  <si>
    <t>Reducir riesgo de calambre por fatiga.</t>
  </si>
  <si>
    <t>Race power bloques</t>
  </si>
  <si>
    <t>2×20' 155–165 W</t>
  </si>
  <si>
    <t>15' Z2 + 2×20' race power (8' suave) + 10' Z2. HR no debe dispararse.</t>
  </si>
  <si>
    <t>60 g CH/h + sodio.</t>
  </si>
  <si>
    <t>Calibrar potencia objetivo 70.3.</t>
  </si>
  <si>
    <t>Brick controlado</t>
  </si>
  <si>
    <t>3–4 km</t>
  </si>
  <si>
    <t>Primer km fácil; luego 5:50–6:00 si cómodo.</t>
  </si>
  <si>
    <t>20–30 g CH antes de correr.</t>
  </si>
  <si>
    <t>Correr con piernas de bici.</t>
  </si>
  <si>
    <t>Continuo aeróbico</t>
  </si>
  <si>
    <t>2.000–2.200 m</t>
  </si>
  <si>
    <t>500 suave + 1.200 continuo + 8×50 técnica/alegre + suave.</t>
  </si>
  <si>
    <t>Confianza y eficiencia.</t>
  </si>
  <si>
    <t>Largo Z2 progresivo</t>
  </si>
  <si>
    <t>12–14 km aprox</t>
  </si>
  <si>
    <t>Últimos 15' cerca de 5:50 si FC estable y sin tensión gemelos.</t>
  </si>
  <si>
    <t>30–50 g CH/h si &gt;75'.</t>
  </si>
  <si>
    <t>Base para media maratón post-bici.</t>
  </si>
  <si>
    <t>Bici larga con control</t>
  </si>
  <si>
    <t>80–85 km aprox</t>
  </si>
  <si>
    <t>Z2 + 2×20' 155–165 W</t>
  </si>
  <si>
    <t>Postura aero 20' sí/10' no. Evita picos &gt;180 W.</t>
  </si>
  <si>
    <t>70 g CH/h + 600–900 mg sodio/h.</t>
  </si>
  <si>
    <t>Resistencia específica.</t>
  </si>
  <si>
    <t>4–4,5 km</t>
  </si>
  <si>
    <t>Ritmo cómodo; cadencia alta. Detente si calambre fuerte.</t>
  </si>
  <si>
    <t>Gel al inicio del brick.</t>
  </si>
  <si>
    <t>Tolerar carrera con glucógeno bajo.</t>
  </si>
  <si>
    <t>Descarga + técnica</t>
  </si>
  <si>
    <t>Movilidad + caminata 20'.</t>
  </si>
  <si>
    <t>Comer normal, no recortar demasiado CH.</t>
  </si>
  <si>
    <t>Descarga.</t>
  </si>
  <si>
    <t>Técnica suave</t>
  </si>
  <si>
    <t>1.700–1.900 m</t>
  </si>
  <si>
    <t>Drills + 8×100 suaves, exhalación y orientación.</t>
  </si>
  <si>
    <t>Recuperar técnica.</t>
  </si>
  <si>
    <t>Rodillo fácil</t>
  </si>
  <si>
    <t>Z1–Z2 / 115–140 W</t>
  </si>
  <si>
    <t>Cadencia libre, sin bloque.</t>
  </si>
  <si>
    <t>Agua + electrolitos si calor.</t>
  </si>
  <si>
    <t>Recuperación activa.</t>
  </si>
  <si>
    <t>7–8 km</t>
  </si>
  <si>
    <t>Z2 + 4×20”</t>
  </si>
  <si>
    <t>Todo conversacional.</t>
  </si>
  <si>
    <t>Agua.</t>
  </si>
  <si>
    <t>Soltar sin fatiga.</t>
  </si>
  <si>
    <t>Fuerza mantenimiento</t>
  </si>
  <si>
    <t>2–3 series por ejercicio; nada al fallo.</t>
  </si>
  <si>
    <t>Mantener tono.</t>
  </si>
  <si>
    <t>Z2 con chispa</t>
  </si>
  <si>
    <t>Z2 + 4×3' 155–165 W</t>
  </si>
  <si>
    <t>Bloques cortos, control HR.</t>
  </si>
  <si>
    <t>40 g CH/h.</t>
  </si>
  <si>
    <t>Mantener estímulo.</t>
  </si>
  <si>
    <t>Brick muy suave</t>
  </si>
  <si>
    <t>Solo transición.</t>
  </si>
  <si>
    <t>Soltura.</t>
  </si>
  <si>
    <t>Continuo suave</t>
  </si>
  <si>
    <t>1.500–1.700 m</t>
  </si>
  <si>
    <t>Nado fácil, técnica larga.</t>
  </si>
  <si>
    <t>Recuperar.</t>
  </si>
  <si>
    <t>Largo corto</t>
  </si>
  <si>
    <t>9–11 km</t>
  </si>
  <si>
    <t>Conversacional, plano.</t>
  </si>
  <si>
    <t>30 g CH si sales con hambre.</t>
  </si>
  <si>
    <t>Mantener frecuencia.</t>
  </si>
  <si>
    <t>60–65 km aprox</t>
  </si>
  <si>
    <t>Sin bloques; aero cómoda.</t>
  </si>
  <si>
    <t>50–60 g CH/h + sodio.</t>
  </si>
  <si>
    <t>Recuperar sin perder base.</t>
  </si>
  <si>
    <t>Brick opcional suave</t>
  </si>
  <si>
    <t>1,5 km</t>
  </si>
  <si>
    <t>Solo si piernas sin tensión.</t>
  </si>
  <si>
    <t>Chequeo de gemelos.</t>
  </si>
  <si>
    <t>Build 2 – fuerza-resistencia</t>
  </si>
  <si>
    <t>Movilidad + respiración.</t>
  </si>
  <si>
    <t>CH suficientes.</t>
  </si>
  <si>
    <t>Arrancar bloque fuerte.</t>
  </si>
  <si>
    <t>CSS + palas suaves</t>
  </si>
  <si>
    <t>2.200–2.400 m</t>
  </si>
  <si>
    <t>300 + 8×50 técnica + 3×400 a CSS+5" rec 45" + suave. Palas solo si hombro OK.</t>
  </si>
  <si>
    <t>Resistencia de nado.</t>
  </si>
  <si>
    <t>Z2 estable</t>
  </si>
  <si>
    <t>Sin picos, cadencia 90.</t>
  </si>
  <si>
    <t>40–50 g CH/h.</t>
  </si>
  <si>
    <t>Volumen eficiente.</t>
  </si>
  <si>
    <t>Intervalos 5×5</t>
  </si>
  <si>
    <t>10–11 km</t>
  </si>
  <si>
    <t>15' + 5×5' fuerte controlado rec 2' + suave. Nunca sprint.</t>
  </si>
  <si>
    <t>30 g CH antes.</t>
  </si>
  <si>
    <t>VO2/umbral sin destruir.</t>
  </si>
  <si>
    <t>Fuerza pesada breve</t>
  </si>
  <si>
    <t>Sentadilla/prensa 4×4, RDL 3×5, gemelo 4×6, sóleo 4×8, core.</t>
  </si>
  <si>
    <t>Economía y prevención.</t>
  </si>
  <si>
    <t>Sweet spot 3×12</t>
  </si>
  <si>
    <t>3×12' 170–180 W</t>
  </si>
  <si>
    <t>15' Z2 + 3×12' (5' suave) + Z2. Control HR.</t>
  </si>
  <si>
    <t>60 g CH/h.</t>
  </si>
  <si>
    <t>Subir potencia sostenible.</t>
  </si>
  <si>
    <t>Ritmo fácil; zancada corta.</t>
  </si>
  <si>
    <t>20–30 g CH al bajarte.</t>
  </si>
  <si>
    <t>Transición.</t>
  </si>
  <si>
    <t>2×800 continuo con sighting + 8×50 alegres.</t>
  </si>
  <si>
    <t>Manejo mental y orientación.</t>
  </si>
  <si>
    <t>13–15 km</t>
  </si>
  <si>
    <t>Últimos 15' en 5:45–5:55 si no hay deriva.</t>
  </si>
  <si>
    <t>Durabilidad.</t>
  </si>
  <si>
    <t>Larga Z2 + tempo</t>
  </si>
  <si>
    <t>85–90 km aprox</t>
  </si>
  <si>
    <t>Z2 + 2×25' 155–165 W</t>
  </si>
  <si>
    <t>Aero estable. No subir &gt;170 W en repechos.</t>
  </si>
  <si>
    <t>70–80 g CH/h + 700–900 mg sodio/h.</t>
  </si>
  <si>
    <t>Resistencia para 90 km.</t>
  </si>
  <si>
    <t>4–5 km</t>
  </si>
  <si>
    <t>Primer km muy suave; luego ritmo cómodo.</t>
  </si>
  <si>
    <t>Gel antes de correr.</t>
  </si>
  <si>
    <t>Correr sin calambre.</t>
  </si>
  <si>
    <t>Build 2 – umbral aeróbico</t>
  </si>
  <si>
    <t>Movilidad de tobillo/cadera + caminata.</t>
  </si>
  <si>
    <t>Absorber.</t>
  </si>
  <si>
    <t>CSS 100s</t>
  </si>
  <si>
    <t>2.300 m</t>
  </si>
  <si>
    <t>CSS</t>
  </si>
  <si>
    <t>300 + 6×50 técnica + 15×100 CSS+3" rec 15–20" + suave.</t>
  </si>
  <si>
    <t>Economía a ritmo sostenido.</t>
  </si>
  <si>
    <t>Cadencia 90–95.</t>
  </si>
  <si>
    <t>Base.</t>
  </si>
  <si>
    <t>Tempo 2×15</t>
  </si>
  <si>
    <t>11–12 km</t>
  </si>
  <si>
    <t>15' + 2×15' a 5:35–5:45 rec 5' + suave.</t>
  </si>
  <si>
    <t>30–45 g CH antes/durante.</t>
  </si>
  <si>
    <t>Sostener ritmo objetivo.</t>
  </si>
  <si>
    <t>Fuerza + core</t>
  </si>
  <si>
    <t>Menos volumen si hay DOMS. Incluye gemelo y sóleo.</t>
  </si>
  <si>
    <t>Economía.</t>
  </si>
  <si>
    <t>Race power 2×25</t>
  </si>
  <si>
    <t>2×25' 155–165 W</t>
  </si>
  <si>
    <t>15' Z2 + bloques + 10' suave. HR estable.</t>
  </si>
  <si>
    <t>60–70 g CH/h.</t>
  </si>
  <si>
    <t>Pacing 70.3.</t>
  </si>
  <si>
    <t>Brick medio</t>
  </si>
  <si>
    <t>Mantén 5:55–6:10; sin forzar.</t>
  </si>
  <si>
    <t>Gel o bebida CH antes.</t>
  </si>
  <si>
    <t>Resistencia post-bici.</t>
  </si>
  <si>
    <t>Continuo 1.9k</t>
  </si>
  <si>
    <t>2.200–2.500 m</t>
  </si>
  <si>
    <t>1.900 m continuo a ritmo de carrera + 6×50 técnica.</t>
  </si>
  <si>
    <t>Confianza distancia 70.3.</t>
  </si>
  <si>
    <t>14–15 km</t>
  </si>
  <si>
    <t>Plano. Si FC sube &gt;5–6%, baja ritmo.</t>
  </si>
  <si>
    <t>Bici larga</t>
  </si>
  <si>
    <t>85 km aprox</t>
  </si>
  <si>
    <t>Z2 + 3×15' 155–165 W</t>
  </si>
  <si>
    <t>Simula postura y cadencia. No competir.</t>
  </si>
  <si>
    <t>75–85 g CH/h + sodio.</t>
  </si>
  <si>
    <t>Practicar nutrición alta.</t>
  </si>
  <si>
    <t>Técnica corta, control gemelos.</t>
  </si>
  <si>
    <t>Gel al inicio.</t>
  </si>
  <si>
    <t>Run off-bike.</t>
  </si>
  <si>
    <t>Build 2 – brick progresivo</t>
  </si>
  <si>
    <t>Mantener carga manejable.</t>
  </si>
  <si>
    <t>CSS largo</t>
  </si>
  <si>
    <t>2.400–2.600 m</t>
  </si>
  <si>
    <t>CSS/Z2</t>
  </si>
  <si>
    <t>400 + 4×50 técnica + 5×300 a CSS+5" rec 30" + suave.</t>
  </si>
  <si>
    <t>Resistencia específica nado.</t>
  </si>
  <si>
    <t>Z2 alta</t>
  </si>
  <si>
    <t>Z2 / 135–150 W</t>
  </si>
  <si>
    <t>Cadencia 85–95, aero.</t>
  </si>
  <si>
    <t>6×4' fuerte</t>
  </si>
  <si>
    <t>15' + 6×4' fuerte rec 2' + suave. Control, no sprint.</t>
  </si>
  <si>
    <t>30–45 g CH antes.</t>
  </si>
  <si>
    <t>Potencia aeróbica.</t>
  </si>
  <si>
    <t>Baja una serie vs semanas previas; gemelo pesado + sóleo.</t>
  </si>
  <si>
    <t>Mantener sin fatigar.</t>
  </si>
  <si>
    <t>Sweet spot 4×10</t>
  </si>
  <si>
    <t>4×10' 170–180 W</t>
  </si>
  <si>
    <t>Rec 5'. Evita picos.</t>
  </si>
  <si>
    <t>Mejorar FTP funcional.</t>
  </si>
  <si>
    <t>Primeros 10' muy fácil.</t>
  </si>
  <si>
    <t>20–30 g CH antes.</t>
  </si>
  <si>
    <t>Correr con fatiga.</t>
  </si>
  <si>
    <t>Open-water sim</t>
  </si>
  <si>
    <t>4×500 continuo con sighting + 6×50 fuerte controlado.</t>
  </si>
  <si>
    <t>Control de orientación.</t>
  </si>
  <si>
    <t>Incluye 6×20" strides al final si estás suelto.</t>
  </si>
  <si>
    <t>Durabilidad sin sobrecarga.</t>
  </si>
  <si>
    <t>Larga específica</t>
  </si>
  <si>
    <t>Z2 + 2×30' 155–165 W</t>
  </si>
  <si>
    <t>Ensaya aero, cadencia y nutrición.</t>
  </si>
  <si>
    <t>80–90 g CH/h + 700–1000 mg sodio/h.</t>
  </si>
  <si>
    <t>Fatiga resistente.</t>
  </si>
  <si>
    <t>Cadencia alta, sin mirar velocidad los primeros 5'.</t>
  </si>
  <si>
    <t>Control neuromuscular.</t>
  </si>
  <si>
    <t>Movilidad, sueño, masaje si puedes.</t>
  </si>
  <si>
    <t>Descargar.</t>
  </si>
  <si>
    <t>1.800 m</t>
  </si>
  <si>
    <t>Drills + 10×100 suaves.</t>
  </si>
  <si>
    <t>Recuperar brazada.</t>
  </si>
  <si>
    <t>Cadencia 90, sin bloques.</t>
  </si>
  <si>
    <t>Agua/electrolitos.</t>
  </si>
  <si>
    <t>Soltar.</t>
  </si>
  <si>
    <t>Z2 fácil</t>
  </si>
  <si>
    <t>8–9 km</t>
  </si>
  <si>
    <t>Conversacional, terreno plano.</t>
  </si>
  <si>
    <t>Prehab breve</t>
  </si>
  <si>
    <t>Gemelo/sóleo, glúteo medio, core. Sin carga pesada.</t>
  </si>
  <si>
    <t>Prevenir recaídas.</t>
  </si>
  <si>
    <t>Z2 + chequeo 20'</t>
  </si>
  <si>
    <t>20' 155–165 W</t>
  </si>
  <si>
    <t>No es test máximo; observa HR a race power.</t>
  </si>
  <si>
    <t>Ver si race power es estable.</t>
  </si>
  <si>
    <t>Brick corto</t>
  </si>
  <si>
    <t>Continuo con técnica.</t>
  </si>
  <si>
    <t>Deriva controlada.</t>
  </si>
  <si>
    <t>30 g CH si hace falta.</t>
  </si>
  <si>
    <t>Mantener base.</t>
  </si>
  <si>
    <t>60 km aprox</t>
  </si>
  <si>
    <t>Sin bloques duros.</t>
  </si>
  <si>
    <t>Brick opcional</t>
  </si>
  <si>
    <t>Solo si piernas OK.</t>
  </si>
  <si>
    <t>Chequeo.</t>
  </si>
  <si>
    <t>Específico 70.3 – race power</t>
  </si>
  <si>
    <t>Inicio bloque específico.</t>
  </si>
  <si>
    <t>CSS resistencia</t>
  </si>
  <si>
    <t>2.500–2.700 m</t>
  </si>
  <si>
    <t>400 + 3×600 a CSS+5" rec 45" + 8×50 técnica.</t>
  </si>
  <si>
    <t>Llegar cómodo a 1.9k.</t>
  </si>
  <si>
    <t>Z2 aero</t>
  </si>
  <si>
    <t>Mayor tiempo posible en posición aero.</t>
  </si>
  <si>
    <t>Aero estable.</t>
  </si>
  <si>
    <t>Tempo con cuestas suaves</t>
  </si>
  <si>
    <t>15' + 4×8' tempo rec 2' + suave. Cuidado gemelos.</t>
  </si>
  <si>
    <t>Fuerza específica sin destruir.</t>
  </si>
  <si>
    <t>RPE 6–7</t>
  </si>
  <si>
    <t>Baja volumen. Gemelos y core siguen fijos.</t>
  </si>
  <si>
    <t>Mantener fuerza.</t>
  </si>
  <si>
    <t>Race power 3×15</t>
  </si>
  <si>
    <t>3×15' 158–165 W</t>
  </si>
  <si>
    <t>Rec 5'. Evita subir de 170 W.</t>
  </si>
  <si>
    <t>70 g CH/h.</t>
  </si>
  <si>
    <t>Pacing estable.</t>
  </si>
  <si>
    <t>Brick a ritmo objetivo</t>
  </si>
  <si>
    <t>Z2→ritmo 70.3</t>
  </si>
  <si>
    <t>10' fácil + 15' 5:40–5:55/km si cómodo.</t>
  </si>
  <si>
    <t>30 g CH al bajar.</t>
  </si>
  <si>
    <t>Ritmo de carrera bajo fatiga.</t>
  </si>
  <si>
    <t>2.300–2.500 m</t>
  </si>
  <si>
    <t>1.900 continuo + 10×50 con sighting.</t>
  </si>
  <si>
    <t>Mentalidad de nado.</t>
  </si>
  <si>
    <t>Largo con final</t>
  </si>
  <si>
    <t>15–16 km</t>
  </si>
  <si>
    <t>Z2 + 20' ritmo 70.3</t>
  </si>
  <si>
    <t>Últimos 20' a 5:40–5:55 si FC estable.</t>
  </si>
  <si>
    <t>Preparar medio maratón.</t>
  </si>
  <si>
    <t>Larga 70.3 específica</t>
  </si>
  <si>
    <t>85–90 km</t>
  </si>
  <si>
    <t>Z2 + 2×30' 158–165 W</t>
  </si>
  <si>
    <t>Bloques después de la primera hora. Aero.</t>
  </si>
  <si>
    <t>80–90 g CH/h + 800–1000 mg sodio/h.</t>
  </si>
  <si>
    <t>Nutrición y potencia.</t>
  </si>
  <si>
    <t>No perseguir pace; cadencia y soltura.</t>
  </si>
  <si>
    <t>Control calambres.</t>
  </si>
  <si>
    <t>Específico 70.3 – nutrición</t>
  </si>
  <si>
    <t>Movilidad y sueño.</t>
  </si>
  <si>
    <t>Ritmo 70.3</t>
  </si>
  <si>
    <t>2.400 m</t>
  </si>
  <si>
    <t>Z2/CSS</t>
  </si>
  <si>
    <t>4×400 a ritmo carrera rec 30" + técnica.</t>
  </si>
  <si>
    <t>Sostener ritmo sin subir HR.</t>
  </si>
  <si>
    <t>Z2 con cadencia</t>
  </si>
  <si>
    <t>5×5' cadencia 95–100 dentro de Z2.</t>
  </si>
  <si>
    <t>Eficiencia.</t>
  </si>
  <si>
    <t>Tempo 4×8</t>
  </si>
  <si>
    <t>15' + 4×8' a 5:35–5:45 rec 2' + suave.</t>
  </si>
  <si>
    <t>Ritmo objetivo.</t>
  </si>
  <si>
    <t>Pocas series, énfasis gemelo/sóleo/core.</t>
  </si>
  <si>
    <t>Prevención.</t>
  </si>
  <si>
    <t>Race power 3×20</t>
  </si>
  <si>
    <t>3×20' 155–165 W</t>
  </si>
  <si>
    <t>Rec 5'. Mantén HR estable; si sube mucho, baja 5 W.</t>
  </si>
  <si>
    <t>70–80 g CH/h.</t>
  </si>
  <si>
    <t>Sostener potencia 70.3.</t>
  </si>
  <si>
    <t>Brick ritmo 70.3</t>
  </si>
  <si>
    <t>Primer km fácil; luego 5:45–5:55/km.</t>
  </si>
  <si>
    <t>Automatizar transición.</t>
  </si>
  <si>
    <t>Continuo 2k</t>
  </si>
  <si>
    <t>2.000 continuo + 6×50 alegres.</t>
  </si>
  <si>
    <t>Confianza.</t>
  </si>
  <si>
    <t>Plano; controla deriva. Nada de heroísmo.</t>
  </si>
  <si>
    <t>50–60 g CH/h.</t>
  </si>
  <si>
    <t>Larga con nutrición alta</t>
  </si>
  <si>
    <t>Z2 + 40' continuo 155–165 W</t>
  </si>
  <si>
    <t>Un bloque largo a race power después de 90'.</t>
  </si>
  <si>
    <t>85–90 g CH/h + sodio. Anota tolerancia GI.</t>
  </si>
  <si>
    <t>Ensayo de combustible.</t>
  </si>
  <si>
    <t>Trote fácil, cadencia alta.</t>
  </si>
  <si>
    <t>Resistencia al calambre.</t>
  </si>
  <si>
    <t>Específico 70.3 – fatiga controlada</t>
  </si>
  <si>
    <t>Movilidad + caminata.</t>
  </si>
  <si>
    <t>Preparar semana clave.</t>
  </si>
  <si>
    <t>CSS + continuo</t>
  </si>
  <si>
    <t>2.600 m</t>
  </si>
  <si>
    <t>600 suave + 10×100 CSS rec 15" + 800 continuo + suave.</t>
  </si>
  <si>
    <t>Velocidad sostenible.</t>
  </si>
  <si>
    <t>Aero, cadencia 88–92.</t>
  </si>
  <si>
    <t>Tempo 2×20</t>
  </si>
  <si>
    <t>15' + 2×20' a 5:40–5:50 rec 5' + suave.</t>
  </si>
  <si>
    <t>45 g CH durante si hace calor.</t>
  </si>
  <si>
    <t>Sostener pace de carrera.</t>
  </si>
  <si>
    <t>Fuerza muy controlada</t>
  </si>
  <si>
    <t>Última semana con algo de carga. Nada de agujetas.</t>
  </si>
  <si>
    <t>Mantener economía.</t>
  </si>
  <si>
    <t>Race power fatiga</t>
  </si>
  <si>
    <t>2×30' 155–165 W</t>
  </si>
  <si>
    <t>Segundo bloque debe sentirse controlado, no agónico.</t>
  </si>
  <si>
    <t>80–90 g CH/h.</t>
  </si>
  <si>
    <t>Resistencia de potencia.</t>
  </si>
  <si>
    <t>Brick a ritmo 70.3</t>
  </si>
  <si>
    <t>Z2/ritmo 70.3</t>
  </si>
  <si>
    <t>15' a 5:45–5:55 si estable.</t>
  </si>
  <si>
    <t>1.900 continuo con sighting + 10×50 técnica.</t>
  </si>
  <si>
    <t>Ejecución de nado.</t>
  </si>
  <si>
    <t>Largo con control</t>
  </si>
  <si>
    <t>No pasar de Z2 alta. Revisa gemelos.</t>
  </si>
  <si>
    <t>Z2 + 2×35' 155–165 W</t>
  </si>
  <si>
    <t>Última hora debe ser estable. Picos bajos.</t>
  </si>
  <si>
    <t>85–90 g CH/h + 800–1000 mg sodio/h.</t>
  </si>
  <si>
    <t>Último bloque fuerte antes del pico.</t>
  </si>
  <si>
    <t>Si todo bien, últimos 5' a 5:50.</t>
  </si>
  <si>
    <t>Consolidar.</t>
  </si>
  <si>
    <t>Pico + simulación 70.3</t>
  </si>
  <si>
    <t>Llegar fresco al simulacro.</t>
  </si>
  <si>
    <t>Ritmo controlado</t>
  </si>
  <si>
    <t>3×600 a ritmo 70.3 rec 45" + técnica.</t>
  </si>
  <si>
    <t>Afinar brazada.</t>
  </si>
  <si>
    <t>Z2 corto</t>
  </si>
  <si>
    <t>Aero suave, sin acumular fatiga.</t>
  </si>
  <si>
    <t>Solidez.</t>
  </si>
  <si>
    <t>9–10 km</t>
  </si>
  <si>
    <t>20' Z2 + 25' 5:40–5:55 + suave.</t>
  </si>
  <si>
    <t>30–45 g CH si calor.</t>
  </si>
  <si>
    <t>Automatizar ritmo.</t>
  </si>
  <si>
    <t>Prehab</t>
  </si>
  <si>
    <t>Gemelo/sóleo/core, sin carga pesada.</t>
  </si>
  <si>
    <t>Mantener.</t>
  </si>
  <si>
    <t>Activación race power</t>
  </si>
  <si>
    <t>3×10' 155–165 W</t>
  </si>
  <si>
    <t>Fácil entre bloques. Debe sentirse cómodo.</t>
  </si>
  <si>
    <t>Activar sin fatigar.</t>
  </si>
  <si>
    <t>Suave técnica</t>
  </si>
  <si>
    <t>Técnica larga y tranquila.</t>
  </si>
  <si>
    <t>Llegar fresco.</t>
  </si>
  <si>
    <t>Descanso + preparación</t>
  </si>
  <si>
    <t>Preparar bici, nutrición, ropa. Movilidad suave.</t>
  </si>
  <si>
    <t>Cena rica en CH, baja fibra si te cae mejor.</t>
  </si>
  <si>
    <t>Simulación sin improvisar.</t>
  </si>
  <si>
    <t>Triatlón</t>
  </si>
  <si>
    <t>Simulación clave 70.3 recortada</t>
  </si>
  <si>
    <t>Swim 1.5–1.9 km + Bike 80–85 km + Run 8–9 km</t>
  </si>
  <si>
    <t>Nado controlado; bici 150–162 W; run 5:50–6:00 los primeros 3 km y luego 5:40–5:50 si todo OK.</t>
  </si>
  <si>
    <t>Practica exactamente: 85–90 g CH/h en bici, 60–70 g CH/h corriendo, 800–1000 mg sodio/h según sudor.</t>
  </si>
  <si>
    <t>Ensayo general de pacing, nutrición y calambres.</t>
  </si>
  <si>
    <t>Taper 1 + calor</t>
  </si>
  <si>
    <t>Descanso activo + calor pasivo</t>
  </si>
  <si>
    <t>Movilidad. Si toleras, ducha caliente/sauna suave 15–20' post, sin deshidratarte.</t>
  </si>
  <si>
    <t>Rehidrata con sodio.</t>
  </si>
  <si>
    <t>Iniciar adaptación al calor.</t>
  </si>
  <si>
    <t>Ritmo fácil</t>
  </si>
  <si>
    <t>Nado continuo suave + 6×50 alegres.</t>
  </si>
  <si>
    <t>Mantener sensación de agua.</t>
  </si>
  <si>
    <t>Z2 con calor controlado</t>
  </si>
  <si>
    <t>Rodillo con ventilación moderada, no extremo; HR estable.</t>
  </si>
  <si>
    <t>Adaptación al calor sin fatiga.</t>
  </si>
  <si>
    <t>Tempo corto</t>
  </si>
  <si>
    <t>Z2 + 3×6'</t>
  </si>
  <si>
    <t>15' + 3×6' ritmo 70.3/tempo rec 2' + suave.</t>
  </si>
  <si>
    <t>Mantener intensidad.</t>
  </si>
  <si>
    <t>RPE 5</t>
  </si>
  <si>
    <t>Gemelo/sóleo/core. Sin carga pesada.</t>
  </si>
  <si>
    <t>Mantener tendón.</t>
  </si>
  <si>
    <t>Race power corto</t>
  </si>
  <si>
    <t>2×15' 155–165 W</t>
  </si>
  <si>
    <t>Todo controlado. No buscar récords.</t>
  </si>
  <si>
    <t>Afinar pacing.</t>
  </si>
  <si>
    <t>10' fácil + 10' 5:45–5:55.</t>
  </si>
  <si>
    <t>Sensación de carrera.</t>
  </si>
  <si>
    <t>Open-water sim suave</t>
  </si>
  <si>
    <t>1.500 continuo + técnica.</t>
  </si>
  <si>
    <t>Calma.</t>
  </si>
  <si>
    <t>Largo reducido</t>
  </si>
  <si>
    <t>Todo cómodo, sin final rápido.</t>
  </si>
  <si>
    <t>40–50 g CH/h si calor.</t>
  </si>
  <si>
    <t>Mantener durabilidad.</t>
  </si>
  <si>
    <t>Larga reducida</t>
  </si>
  <si>
    <t>60–70 km</t>
  </si>
  <si>
    <t>Z2 + 20' race power</t>
  </si>
  <si>
    <t>Un bloque de 20' a 155–162 W. Resto fácil.</t>
  </si>
  <si>
    <t>Taper sin perder chispa.</t>
  </si>
  <si>
    <t>Muy suave.</t>
  </si>
  <si>
    <t>Taper 2 + afinación</t>
  </si>
  <si>
    <t>Descanso activo + calor</t>
  </si>
  <si>
    <t>Movilidad y calor pasivo corto si te sienta bien.</t>
  </si>
  <si>
    <t>Rehidrata.</t>
  </si>
  <si>
    <t>Conservar adaptación.</t>
  </si>
  <si>
    <t>Ritmo carrera</t>
  </si>
  <si>
    <t>3×400 a ritmo 70.3 + técnica.</t>
  </si>
  <si>
    <t>Sensación de agua.</t>
  </si>
  <si>
    <t>Z2 + 3×3'</t>
  </si>
  <si>
    <t>Z2 + 3×3' 160 W</t>
  </si>
  <si>
    <t>Activación, no fatiga.</t>
  </si>
  <si>
    <t>Mantener potencia.</t>
  </si>
  <si>
    <t>Activación tempo</t>
  </si>
  <si>
    <t>Z2 + 3×5'</t>
  </si>
  <si>
    <t>3×5' a ritmo 70.3 con recuperación fácil.</t>
  </si>
  <si>
    <t>30 g CH si calor.</t>
  </si>
  <si>
    <t>Mantener ritmo.</t>
  </si>
  <si>
    <t>Prehab mínima</t>
  </si>
  <si>
    <t>RPE 4–5</t>
  </si>
  <si>
    <t>Gemelo/sóleo/core suave. Nada que deje dolor.</t>
  </si>
  <si>
    <t>2×10' 155–165 W</t>
  </si>
  <si>
    <t>Todo debe sentirse fácil.</t>
  </si>
  <si>
    <t>Afinar.</t>
  </si>
  <si>
    <t>Cadencia alta.</t>
  </si>
  <si>
    <t>Suave + salidas</t>
  </si>
  <si>
    <t>8×50 con primeros 10m alegres, resto suave.</t>
  </si>
  <si>
    <t>Evitar ansiedad de salida.</t>
  </si>
  <si>
    <t>Todo fácil; 4×20" strides al final.</t>
  </si>
  <si>
    <t>Mantener piernas.</t>
  </si>
  <si>
    <t>Rodaje final largo reducido</t>
  </si>
  <si>
    <t>40–45 km</t>
  </si>
  <si>
    <t>Z2 + 10' race power</t>
  </si>
  <si>
    <t>Suave, aero, revisar equipo.</t>
  </si>
  <si>
    <t>60–70 g CH/h + sodio.</t>
  </si>
  <si>
    <t>Último chequeo.</t>
  </si>
  <si>
    <t>Solo si te sientes bien.</t>
  </si>
  <si>
    <t>Race week</t>
  </si>
  <si>
    <t>Movilidad suave, sueño, logística.</t>
  </si>
  <si>
    <t>Sube CH gradualmente, sin experimentar.</t>
  </si>
  <si>
    <t>Activación agua</t>
  </si>
  <si>
    <t>1.300–1.500 m</t>
  </si>
  <si>
    <t>Z1–Z2 + 4×50</t>
  </si>
  <si>
    <t>4×50 a ritmo 70.3, resto suave. Enfócate en exhalar.</t>
  </si>
  <si>
    <t>Calma y ritmo.</t>
  </si>
  <si>
    <t>Activación rodillo/ruta</t>
  </si>
  <si>
    <t>Z2 + 3×2' race power</t>
  </si>
  <si>
    <t>Muy controlado, revisar cambios/frenos.</t>
  </si>
  <si>
    <t>Mantener chispa.</t>
  </si>
  <si>
    <t>Activación carrera</t>
  </si>
  <si>
    <t>5–6 km</t>
  </si>
  <si>
    <t>Trote fácil + strides. Debes acabar con ganas.</t>
  </si>
  <si>
    <t>Piernas frescas.</t>
  </si>
  <si>
    <t>Suave con orientación</t>
  </si>
  <si>
    <t>1.000–1.200 m</t>
  </si>
  <si>
    <t>Nado fácil, 4×30" alegres.</t>
  </si>
  <si>
    <t>Openers bici</t>
  </si>
  <si>
    <t>Z2 + 3×1' 160 W</t>
  </si>
  <si>
    <t>Nada de fatiga.</t>
  </si>
  <si>
    <t>40 g CH si es necesario.</t>
  </si>
  <si>
    <t>Activar.</t>
  </si>
  <si>
    <t>Descanso + logística</t>
  </si>
  <si>
    <t>Preparar bolsas, sales, geles, check de bici. Caminata corta.</t>
  </si>
  <si>
    <t>Carga CH, baja fibra si lo toleras.</t>
  </si>
  <si>
    <t>Cero improvisación.</t>
  </si>
  <si>
    <t>Toque de agua</t>
  </si>
  <si>
    <t>600–800 m</t>
  </si>
  <si>
    <t>Muy suave</t>
  </si>
  <si>
    <t>Solo sentir el agua; 2–3 aceleraciones de 20".</t>
  </si>
  <si>
    <t>Desayuno normal, hidratación.</t>
  </si>
  <si>
    <t>Bajar ansiedad.</t>
  </si>
  <si>
    <t>Chequeo bici</t>
  </si>
  <si>
    <t>Rodar para revisar equipo, no entrenar.</t>
  </si>
  <si>
    <t>Confirmar mecánica.</t>
  </si>
  <si>
    <t>Shakeout</t>
  </si>
  <si>
    <t>1–1,5 km</t>
  </si>
  <si>
    <t>Solo soltar piernas.</t>
  </si>
  <si>
    <t>Activación mínima.</t>
  </si>
  <si>
    <t>IRONMAN 70.3 Río</t>
  </si>
  <si>
    <t>1.9 km + 90 km + 21.1 km</t>
  </si>
  <si>
    <t>Plan de carrera</t>
  </si>
  <si>
    <t>Swim 43–45'; T1 4'; bike 2:43–2:49 a 150–162 W; T2 2–3'; run 1:55–2:00 con salida conservadora.</t>
  </si>
  <si>
    <t>Desayuno 3–4 h antes. Bici 85–95 g CH/h + 700–1000 mg sodio/h. Run 60–75 g CH/h + sodio/agua por aid stations.</t>
  </si>
  <si>
    <t>Meta 5:31 ejecutando sin calambres.</t>
  </si>
  <si>
    <t>Plan 70.3 Río — resumen ejecutivo</t>
  </si>
  <si>
    <t>Fecha carrera oficial</t>
  </si>
  <si>
    <t>Objetivo total</t>
  </si>
  <si>
    <t>5:31:00</t>
  </si>
  <si>
    <t>Semana inicio plan</t>
  </si>
  <si>
    <t>Split objetivo</t>
  </si>
  <si>
    <t>Tiempo</t>
  </si>
  <si>
    <t>Ritmo/Velocidad</t>
  </si>
  <si>
    <t>Criterio</t>
  </si>
  <si>
    <t>Riesgo principal</t>
  </si>
  <si>
    <t>Control</t>
  </si>
  <si>
    <t>Natación 1.9 km</t>
  </si>
  <si>
    <t>0:43–0:45</t>
  </si>
  <si>
    <t>2:16–2:22/100m</t>
  </si>
  <si>
    <t>Neiva 1.5 km en 34.5' proyecta ~43.7'</t>
  </si>
  <si>
    <t>Adrenalina/contacto</t>
  </si>
  <si>
    <t>Primeros 200m muy controlados + exhalar</t>
  </si>
  <si>
    <t>T1</t>
  </si>
  <si>
    <t>0:04</t>
  </si>
  <si>
    <t>Simple y limpia</t>
  </si>
  <si>
    <t>Apuro</t>
  </si>
  <si>
    <t>Checklist fijo</t>
  </si>
  <si>
    <t>Bici 90 km</t>
  </si>
  <si>
    <t>2:43–2:49</t>
  </si>
  <si>
    <t>32.0–33.1 km/h</t>
  </si>
  <si>
    <t>Neiva 40 km a 32.3 km/h; sostener sin quemar run</t>
  </si>
  <si>
    <t>Sobrebike + calor</t>
  </si>
  <si>
    <t>150–162 W por FTP 205, sin picos</t>
  </si>
  <si>
    <t>T2</t>
  </si>
  <si>
    <t>0:02–0:03</t>
  </si>
  <si>
    <t>Zapatos, gorra, gel</t>
  </si>
  <si>
    <t>Desorden</t>
  </si>
  <si>
    <t>Rutina ensayada</t>
  </si>
  <si>
    <t>Running 21.1 km</t>
  </si>
  <si>
    <t>1:55–2:00</t>
  </si>
  <si>
    <t>5:27–5:41/km</t>
  </si>
  <si>
    <t>Necesita durabilidad post-bici; salir conservador</t>
  </si>
  <si>
    <t>Calambres</t>
  </si>
  <si>
    <t>Primeros 8 km a 5:45–5:55 y progresar</t>
  </si>
  <si>
    <t>Lectura del registro</t>
  </si>
  <si>
    <t>Conclusión</t>
  </si>
  <si>
    <t>Consistencia</t>
  </si>
  <si>
    <t>Ya hay base desde febrero, con semanas cercanas a 9–10.6 h y muchas sesiones reales.</t>
  </si>
  <si>
    <t>Punto fuerte 1</t>
  </si>
  <si>
    <t>Bici: 40 km a 32.3 km/h con FC 162 muestra buen techo; falta sostener 90 km sin comprometer run.</t>
  </si>
  <si>
    <t>Punto fuerte 2</t>
  </si>
  <si>
    <t>Running: pudiste retomar 5:50/km pese a calambres; hay motor, falta resistencia neuromuscular post-bici.</t>
  </si>
  <si>
    <t>Debilidad 1</t>
  </si>
  <si>
    <t>Natación: el ritmo da para el objetivo, pero el riesgo es mental/contacto/FC, no solo físico.</t>
  </si>
  <si>
    <t>Debilidad 2</t>
  </si>
  <si>
    <t>Calambres: trabajarlos como problema de fatiga neuromuscular + calor + pacing + nutrición, no solo sal.</t>
  </si>
  <si>
    <t>Debilidad 3</t>
  </si>
  <si>
    <t>Volumen de natación bajo vs 70.3; mínimo 2 sesiones/semana, 3 en semanas clave.</t>
  </si>
  <si>
    <t>Resumen semanal</t>
  </si>
  <si>
    <t>Sesiones</t>
  </si>
  <si>
    <t>Foco</t>
  </si>
  <si>
    <t>Recuperar calambres y reiniciar sin fatiga.</t>
  </si>
  <si>
    <t>CSS, Z2 y primer brick largo controlado.</t>
  </si>
  <si>
    <t>Subir race power y correr más largo.</t>
  </si>
  <si>
    <t>Descarga para asimilar.</t>
  </si>
  <si>
    <t>Sweet spot + bici larga 85–90 km.</t>
  </si>
  <si>
    <t>Nutrición alta y continuo 1.9k.</t>
  </si>
  <si>
    <t>Bici específica 2×30' + run largo.</t>
  </si>
  <si>
    <t>Descarga y chequeo de race power.</t>
  </si>
  <si>
    <t>Bloques 70.3 y brick a ritmo.</t>
  </si>
  <si>
    <t>Ensayo nutrición 85–90 g CH/h.</t>
  </si>
  <si>
    <t>Fatiga controlada sin pasar 11 h.</t>
  </si>
  <si>
    <t>Simulación clave recortada.</t>
  </si>
  <si>
    <t>Taper 1 + adaptación al calor.</t>
  </si>
  <si>
    <t>Taper 2 y afinación.</t>
  </si>
  <si>
    <t>Race week.</t>
  </si>
  <si>
    <t>Nutrición, hidratación y pacing 70.3</t>
  </si>
  <si>
    <t>Área</t>
  </si>
  <si>
    <t>Recomendación</t>
  </si>
  <si>
    <t>Cómo aplicarlo en este plan</t>
  </si>
  <si>
    <t>Carbohidratos en sesiones &gt;2.5 h</t>
  </si>
  <si>
    <t>Subir gradualmente hasta 85–95 g CH/h en bici y 60–75 g CH/h corriendo.</t>
  </si>
  <si>
    <t>Practicar en todos los domingos desde junio; registrar tolerancia GI.</t>
  </si>
  <si>
    <t>Usar mezcla glucosa/fructosa si pasas de 60 g/h.</t>
  </si>
  <si>
    <t>Sodio y fluidos</t>
  </si>
  <si>
    <t>Base: 600–1000 mg sodio/h y 500–900 ml/h, ajustado por sudor/calor.</t>
  </si>
  <si>
    <t>Pésate antes/después de sesiones largas para estimar pérdida; no buscar ganar peso durante sesión.</t>
  </si>
  <si>
    <t>En calor/humedad puede subir necesidad; evitar sobrehidratarse sin sodio.</t>
  </si>
  <si>
    <t>Desayuno carrera</t>
  </si>
  <si>
    <t>3–4 h antes: 2–3 g CH/kg, bajo en fibra/grasas, probado antes.</t>
  </si>
  <si>
    <t>Mismo desayuno en simulación del 19/07.</t>
  </si>
  <si>
    <t>No estrenar alimentos.</t>
  </si>
  <si>
    <t>Bici carrera</t>
  </si>
  <si>
    <t>Comer desde los primeros 10–15 min. Objetivo 85–95 g CH/h.</t>
  </si>
  <si>
    <t>Ejemplo/hora: 1 botella 60 g CH + 1 gel 25 g + sodio.</t>
  </si>
  <si>
    <t>No esperar hambre; alarmas cada 10–15 min.</t>
  </si>
  <si>
    <t>Run carrera</t>
  </si>
  <si>
    <t>60–75 g CH/h si el estómago tolera; agua en puestos.</t>
  </si>
  <si>
    <t>Gel cada 20–25 min + sorbos de agua; sodio según calor.</t>
  </si>
  <si>
    <t>Si hay náusea, bajar ritmo 2–3 min y volver al plan.</t>
  </si>
  <si>
    <t>Tratar como fatiga neuromuscular + pacing + calor + combustible, no solo sal.</t>
  </si>
  <si>
    <t>Bici sin picos, fuerza gemelo/sóleo, bricks, calor controlado.</t>
  </si>
  <si>
    <t>Si persisten o son severos, revisar con médico/deportólogo.</t>
  </si>
  <si>
    <t>Heat acclimation</t>
  </si>
  <si>
    <t>10–14 días antes: exposiciones suaves al calor, idealmente 45–60 min en sesiones fáciles.</t>
  </si>
  <si>
    <t>Del 20/07 al 03/08 usa rodillo/run fácil con calor controlado o calor pasivo corto.</t>
  </si>
  <si>
    <t>Nunca deshidratarse a propósito; detener si mareo/escalofrío.</t>
  </si>
  <si>
    <t>Recuperación diaria</t>
  </si>
  <si>
    <t>Proteína 1.4–2.0 g/kg/d; CH alto en días clave, menor en descansos.</t>
  </si>
  <si>
    <t>Priorizar cena post-brick y sueño 7.5–9 h.</t>
  </si>
  <si>
    <t>No hacer déficit calórico agresivo en build.</t>
  </si>
  <si>
    <t>Pacing natación</t>
  </si>
  <si>
    <t>Primeros 200m demasiado fáciles; exhalación continua; buscar pies tranquilos.</t>
  </si>
  <si>
    <t>Practicar sighting y contacto en piscina cuando se pueda.</t>
  </si>
  <si>
    <t>Tu limitante en Neiva fue el susto/FC, no la capacidad de nadar 1.5k.</t>
  </si>
  <si>
    <t>Pacing bici</t>
  </si>
  <si>
    <t>Primeros 30 km 150–158 W; km 30–75 155–162 W; últimos 15 km solo subir si HR/estómago OK.</t>
  </si>
  <si>
    <t>Prohibidos picos &gt;180 W salvo seguridad.</t>
  </si>
  <si>
    <t>Con FTP 205, es aprox 73–79% FTP.</t>
  </si>
  <si>
    <t>Pacing run</t>
  </si>
  <si>
    <t>Km 1–8 a 5:45–5:55; km 9–16 a 5:35–5:45; km 17–21 según piernas.</t>
  </si>
  <si>
    <t>Si aparece calambre: 60–120 s más suave, cadencia alta, zancada corta.</t>
  </si>
  <si>
    <t>No perseguir ritmo si la FC se dispara por calor.</t>
  </si>
  <si>
    <t>Tema</t>
  </si>
  <si>
    <t>Fuente</t>
  </si>
  <si>
    <t>URL</t>
  </si>
  <si>
    <t>Fecha/carrera oficial</t>
  </si>
  <si>
    <t>IRONMAN 70.3 Rio de Janeiro / registro oficial</t>
  </si>
  <si>
    <t>https://regbra1.ironman.com/event/2026-ironman-703-rio-de-janeiro</t>
  </si>
  <si>
    <t>Información del evento/curso</t>
  </si>
  <si>
    <t>IRONMAN 70.3 Rio de Janeiro</t>
  </si>
  <si>
    <t>https://www.ironman.com/races/im703-rio-de-janeiro</t>
  </si>
  <si>
    <t>Entrenamiento polarizado/intensidad</t>
  </si>
  <si>
    <t>Oliveira et al. 2024, Sports Medicine Open/PMC</t>
  </si>
  <si>
    <t>https://pmc.ncbi.nlm.nih.gov/articles/PMC11329428/</t>
  </si>
  <si>
    <t>Bosquet et al. 2007, Effects of tapering on performance meta-analysis</t>
  </si>
  <si>
    <t>https://pubmed.ncbi.nlm.nih.gov/17762369/</t>
  </si>
  <si>
    <t>Taper revisión reciente</t>
  </si>
  <si>
    <t>Wang et al. 2023, PLOS ONE</t>
  </si>
  <si>
    <t>https://journals.plos.org/plosone/article?id=10.1371/journal.pone.0282838</t>
  </si>
  <si>
    <t>Carbohidratos durante ejercicio</t>
  </si>
  <si>
    <t>Jeukendrup 2014, Carbohydrate Intake During Exercise</t>
  </si>
  <si>
    <t>https://pmc.ncbi.nlm.nih.gov/articles/PMC4008807/</t>
  </si>
  <si>
    <t>Carbohidratos para competición</t>
  </si>
  <si>
    <t>Burke et al. 2011, Journal of Sports Sciences/PubMed</t>
  </si>
  <si>
    <t>https://pubmed.ncbi.nlm.nih.gov/21660838/</t>
  </si>
  <si>
    <t>Hidratación/fluidos</t>
  </si>
  <si>
    <t>ACSM Position Stand: Exercise and Fluid Replacement</t>
  </si>
  <si>
    <t>https://pubmed.ncbi.nlm.nih.gov/17277604/</t>
  </si>
  <si>
    <t>Calambres asociados al ejercicio</t>
  </si>
  <si>
    <t>Miller et al. 2010, Exercise-Associated Muscle Cramps</t>
  </si>
  <si>
    <t>https://pmc.ncbi.nlm.nih.gov/articles/PMC3445088/</t>
  </si>
  <si>
    <t>Racinais et al. 2015, Consensus recommendations</t>
  </si>
  <si>
    <t>https://pubmed.ncbi.nlm.nih.gov/25943653/</t>
  </si>
  <si>
    <t>Fuerza y economía</t>
  </si>
  <si>
    <t>Luckin-Baldwin et al. 2021, Strength Training Improves Exercise Economy</t>
  </si>
  <si>
    <t>https://pubmed.ncbi.nlm.nih.gov/33571959/</t>
  </si>
  <si>
    <t>Proteína diaria</t>
  </si>
  <si>
    <t>ISSN Position Stand: Protein and Exercise</t>
  </si>
  <si>
    <t>https://pubmed.ncbi.nlm.nih.gov/28642676/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</si>
</sst>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"/>
  </numFmts>
  <fonts count="9" x14ac:knownFonts="1">
    <font>
      <sz val="11"/>
      <color theme="1"/>
      <name val="Calibri"/>
    </font>
    <font>
      <b/>
      <sz val="11"/>
      <color rgb="FFFFFFFF"/>
      <name val="Calibri"/>
    </font>
    <font>
      <b/>
      <sz val="18"/>
      <color rgb="FF1F4E79"/>
      <name val="Calibri"/>
    </font>
    <font>
      <b/>
      <sz val="11"/>
      <name val="Calibri"/>
    </font>
    <font>
      <b/>
      <sz val="14"/>
      <color rgb="FF1F4E79"/>
      <name val="Calibri"/>
    </font>
    <font>
      <b/>
      <sz val="16"/>
      <color rgb="FF1F2937"/>
      <name val="Calibri"/>
    </font>
    <font>
      <i/>
      <sz val="11"/>
      <color rgb="FF374151"/>
      <name val="Calibri"/>
    </font>
    <font>
      <b/>
      <sz val="10"/>
      <color rgb="FF111827"/>
      <name val="Calibri"/>
    </font>
    <font>
      <sz val="10"/>
      <color rgb="FF11182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46" fontId="0" fillId="0" borderId="1" xfId="0" applyNumberFormat="1" applyBorder="1" applyAlignment="1">
      <alignment vertical="top" wrapText="1"/>
    </xf>
    <xf numFmtId="0" fontId="4" fillId="0" borderId="0" xfId="0" applyFont="1"/>
    <xf numFmtId="0" fontId="7" fillId="5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/>
    </xf>
    <xf numFmtId="165" fontId="8" fillId="0" borderId="5" xfId="0" applyNumberFormat="1" applyFont="1" applyBorder="1" applyAlignment="1">
      <alignment vertical="top" wrapText="1"/>
    </xf>
    <xf numFmtId="165" fontId="8" fillId="0" borderId="8" xfId="0" applyNumberFormat="1" applyFont="1" applyBorder="1" applyAlignment="1">
      <alignment vertical="top" wrapText="1"/>
    </xf>
    <xf numFmtId="166" fontId="8" fillId="0" borderId="3" xfId="0" applyNumberFormat="1" applyFont="1" applyBorder="1" applyAlignment="1">
      <alignment vertical="top" wrapText="1"/>
    </xf>
    <xf numFmtId="166" fontId="8" fillId="0" borderId="6" xfId="0" applyNumberFormat="1" applyFont="1" applyBorder="1" applyAlignment="1">
      <alignment vertical="top" wrapText="1"/>
    </xf>
    <xf numFmtId="166" fontId="8" fillId="0" borderId="9" xfId="0" applyNumberFormat="1" applyFont="1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7" fillId="6" borderId="7" xfId="0" applyFont="1" applyFill="1" applyBorder="1" applyAlignment="1">
      <alignment vertical="top" wrapText="1"/>
    </xf>
    <xf numFmtId="165" fontId="7" fillId="4" borderId="6" xfId="0" applyNumberFormat="1" applyFont="1" applyFill="1" applyBorder="1" applyAlignment="1">
      <alignment vertical="top" wrapText="1"/>
    </xf>
    <xf numFmtId="165" fontId="8" fillId="0" borderId="6" xfId="0" applyNumberFormat="1" applyFont="1" applyBorder="1" applyAlignment="1">
      <alignment vertical="top" wrapText="1"/>
    </xf>
    <xf numFmtId="165" fontId="8" fillId="0" borderId="9" xfId="0" applyNumberFormat="1" applyFont="1" applyBorder="1" applyAlignment="1">
      <alignment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Horas plan vs reales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Semanas!$E$1</c:f>
              <c:strCache>
                <c:ptCount val="1"/>
                <c:pt idx="0">
                  <c:v>Horas plan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Semanas!$E$2:$E$28</c:f>
              <c:numCache>
                <c:formatCode>0.0</c:formatCode>
                <c:ptCount val="27"/>
                <c:pt idx="0">
                  <c:v>11.083333333333334</c:v>
                </c:pt>
                <c:pt idx="1">
                  <c:v>11.5</c:v>
                </c:pt>
                <c:pt idx="2">
                  <c:v>11.833333333333334</c:v>
                </c:pt>
                <c:pt idx="3">
                  <c:v>9.4166666666666661</c:v>
                </c:pt>
                <c:pt idx="4">
                  <c:v>12.25</c:v>
                </c:pt>
                <c:pt idx="5">
                  <c:v>12.583333333333334</c:v>
                </c:pt>
                <c:pt idx="6">
                  <c:v>8.5833333333333339</c:v>
                </c:pt>
                <c:pt idx="7">
                  <c:v>10.083333333333334</c:v>
                </c:pt>
                <c:pt idx="8">
                  <c:v>12.75</c:v>
                </c:pt>
                <c:pt idx="9">
                  <c:v>13</c:v>
                </c:pt>
                <c:pt idx="10">
                  <c:v>13.25</c:v>
                </c:pt>
                <c:pt idx="11">
                  <c:v>10.083333333333334</c:v>
                </c:pt>
                <c:pt idx="12">
                  <c:v>13.416666666666666</c:v>
                </c:pt>
                <c:pt idx="13">
                  <c:v>13.833333333333334</c:v>
                </c:pt>
                <c:pt idx="14">
                  <c:v>13.666666666666666</c:v>
                </c:pt>
                <c:pt idx="15">
                  <c:v>11.083333333333334</c:v>
                </c:pt>
                <c:pt idx="16">
                  <c:v>14.166666666666666</c:v>
                </c:pt>
                <c:pt idx="17">
                  <c:v>14.416666666666666</c:v>
                </c:pt>
                <c:pt idx="18">
                  <c:v>13.916666666666666</c:v>
                </c:pt>
                <c:pt idx="19">
                  <c:v>11.166666666666666</c:v>
                </c:pt>
                <c:pt idx="20">
                  <c:v>13.333333333333334</c:v>
                </c:pt>
                <c:pt idx="21">
                  <c:v>14.083333333333334</c:v>
                </c:pt>
                <c:pt idx="22">
                  <c:v>11.833333333333334</c:v>
                </c:pt>
                <c:pt idx="23">
                  <c:v>10.5</c:v>
                </c:pt>
                <c:pt idx="24">
                  <c:v>10.5</c:v>
                </c:pt>
                <c:pt idx="25">
                  <c:v>8.0833333333333339</c:v>
                </c:pt>
                <c:pt idx="26">
                  <c:v>9.0833333333333339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5-40E1-8295-172CF8DC641A}"/>
            </c:ext>
          </c:extLst>
        </c:ser>
        <c:ser>
          <c:idx val="1"/>
          <c:order val="1"/>
          <c:tx>
            <c:strRef>
              <c:f>Semanas!$F$1</c:f>
              <c:strCache>
                <c:ptCount val="1"/>
                <c:pt idx="0">
                  <c:v>Horas plan Nat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Semanas!$F$2:$F$28</c:f>
              <c:numCache>
                <c:formatCode>0.0</c:formatCode>
                <c:ptCount val="27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1.3333333333333333</c:v>
                </c:pt>
                <c:pt idx="4">
                  <c:v>1.5</c:v>
                </c:pt>
                <c:pt idx="5">
                  <c:v>1.5</c:v>
                </c:pt>
                <c:pt idx="6">
                  <c:v>1.0833333333333333</c:v>
                </c:pt>
                <c:pt idx="7">
                  <c:v>1.25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1.3333333333333333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1.3333333333333333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1.3333333333333333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1.3333333333333333</c:v>
                </c:pt>
                <c:pt idx="24">
                  <c:v>1.4166666666666667</c:v>
                </c:pt>
                <c:pt idx="25">
                  <c:v>1.1666666666666667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5-40E1-8295-172CF8DC641A}"/>
            </c:ext>
          </c:extLst>
        </c:ser>
        <c:ser>
          <c:idx val="2"/>
          <c:order val="2"/>
          <c:tx>
            <c:strRef>
              <c:f>Semanas!$G$1</c:f>
              <c:strCache>
                <c:ptCount val="1"/>
                <c:pt idx="0">
                  <c:v>Horas plan Bici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Semanas!$G$2:$G$28</c:f>
              <c:numCache>
                <c:formatCode>0.0</c:formatCode>
                <c:ptCount val="27"/>
                <c:pt idx="0">
                  <c:v>5.166666666666667</c:v>
                </c:pt>
                <c:pt idx="1">
                  <c:v>5.5</c:v>
                </c:pt>
                <c:pt idx="2">
                  <c:v>5.5</c:v>
                </c:pt>
                <c:pt idx="3">
                  <c:v>4.25</c:v>
                </c:pt>
                <c:pt idx="4">
                  <c:v>5.75</c:v>
                </c:pt>
                <c:pt idx="5">
                  <c:v>5.916666666666667</c:v>
                </c:pt>
                <c:pt idx="6">
                  <c:v>3.6666666666666665</c:v>
                </c:pt>
                <c:pt idx="7">
                  <c:v>3.1666666666666665</c:v>
                </c:pt>
                <c:pt idx="8">
                  <c:v>5.916666666666667</c:v>
                </c:pt>
                <c:pt idx="9">
                  <c:v>6.166666666666667</c:v>
                </c:pt>
                <c:pt idx="10">
                  <c:v>6.333333333333333</c:v>
                </c:pt>
                <c:pt idx="11">
                  <c:v>1.9166666666666667</c:v>
                </c:pt>
                <c:pt idx="12">
                  <c:v>6.333333333333333</c:v>
                </c:pt>
                <c:pt idx="13">
                  <c:v>6.5</c:v>
                </c:pt>
                <c:pt idx="14">
                  <c:v>6.583333333333333</c:v>
                </c:pt>
                <c:pt idx="15">
                  <c:v>5.25</c:v>
                </c:pt>
                <c:pt idx="16">
                  <c:v>6.666666666666667</c:v>
                </c:pt>
                <c:pt idx="17">
                  <c:v>6.833333333333333</c:v>
                </c:pt>
                <c:pt idx="18">
                  <c:v>6.583333333333333</c:v>
                </c:pt>
                <c:pt idx="19">
                  <c:v>5.25</c:v>
                </c:pt>
                <c:pt idx="20">
                  <c:v>5.583333333333333</c:v>
                </c:pt>
                <c:pt idx="21">
                  <c:v>6.416666666666667</c:v>
                </c:pt>
                <c:pt idx="22">
                  <c:v>5.416666666666667</c:v>
                </c:pt>
                <c:pt idx="23">
                  <c:v>4.833333333333333</c:v>
                </c:pt>
                <c:pt idx="24">
                  <c:v>4.666666666666667</c:v>
                </c:pt>
                <c:pt idx="25">
                  <c:v>3.3333333333333335</c:v>
                </c:pt>
                <c:pt idx="26">
                  <c:v>1.0833333333333333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5-40E1-8295-172CF8DC641A}"/>
            </c:ext>
          </c:extLst>
        </c:ser>
        <c:ser>
          <c:idx val="3"/>
          <c:order val="3"/>
          <c:tx>
            <c:strRef>
              <c:f>Semanas!$H$1</c:f>
              <c:strCache>
                <c:ptCount val="1"/>
                <c:pt idx="0">
                  <c:v>Horas plan Run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Semanas!$H$2:$H$28</c:f>
              <c:numCache>
                <c:formatCode>0.0</c:formatCode>
                <c:ptCount val="27"/>
                <c:pt idx="0">
                  <c:v>3.0833333333333335</c:v>
                </c:pt>
                <c:pt idx="1">
                  <c:v>3.1666666666666665</c:v>
                </c:pt>
                <c:pt idx="2">
                  <c:v>3.5</c:v>
                </c:pt>
                <c:pt idx="3">
                  <c:v>2.5</c:v>
                </c:pt>
                <c:pt idx="4">
                  <c:v>3.6666666666666665</c:v>
                </c:pt>
                <c:pt idx="5">
                  <c:v>3.8333333333333335</c:v>
                </c:pt>
                <c:pt idx="6">
                  <c:v>2.5</c:v>
                </c:pt>
                <c:pt idx="7">
                  <c:v>1.6666666666666667</c:v>
                </c:pt>
                <c:pt idx="8">
                  <c:v>4</c:v>
                </c:pt>
                <c:pt idx="9">
                  <c:v>4</c:v>
                </c:pt>
                <c:pt idx="10">
                  <c:v>4.083333333333333</c:v>
                </c:pt>
                <c:pt idx="11">
                  <c:v>3</c:v>
                </c:pt>
                <c:pt idx="12">
                  <c:v>4.25</c:v>
                </c:pt>
                <c:pt idx="13">
                  <c:v>4.5</c:v>
                </c:pt>
                <c:pt idx="14">
                  <c:v>4.25</c:v>
                </c:pt>
                <c:pt idx="15">
                  <c:v>3.1666666666666665</c:v>
                </c:pt>
                <c:pt idx="16">
                  <c:v>4.666666666666667</c:v>
                </c:pt>
                <c:pt idx="17">
                  <c:v>4.75</c:v>
                </c:pt>
                <c:pt idx="18">
                  <c:v>4.5</c:v>
                </c:pt>
                <c:pt idx="19">
                  <c:v>3.25</c:v>
                </c:pt>
                <c:pt idx="20">
                  <c:v>4.916666666666667</c:v>
                </c:pt>
                <c:pt idx="21">
                  <c:v>4.833333333333333</c:v>
                </c:pt>
                <c:pt idx="22">
                  <c:v>3.5833333333333335</c:v>
                </c:pt>
                <c:pt idx="23">
                  <c:v>3</c:v>
                </c:pt>
                <c:pt idx="24">
                  <c:v>3.0833333333333335</c:v>
                </c:pt>
                <c:pt idx="25">
                  <c:v>2.25</c:v>
                </c:pt>
                <c:pt idx="26">
                  <c:v>1.1666666666666667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5-40E1-8295-172CF8DC641A}"/>
            </c:ext>
          </c:extLst>
        </c:ser>
        <c:ser>
          <c:idx val="4"/>
          <c:order val="4"/>
          <c:tx>
            <c:strRef>
              <c:f>Semanas!$I$1</c:f>
              <c:strCache>
                <c:ptCount val="1"/>
                <c:pt idx="0">
                  <c:v>Horas plan Fuerza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Semanas!$I$2:$I$28</c:f>
              <c:numCache>
                <c:formatCode>0.0</c:formatCode>
                <c:ptCount val="27"/>
                <c:pt idx="0">
                  <c:v>1.3333333333333333</c:v>
                </c:pt>
                <c:pt idx="1">
                  <c:v>1.3333333333333333</c:v>
                </c:pt>
                <c:pt idx="2">
                  <c:v>1.3333333333333333</c:v>
                </c:pt>
                <c:pt idx="3">
                  <c:v>1.3333333333333333</c:v>
                </c:pt>
                <c:pt idx="4">
                  <c:v>1.3333333333333333</c:v>
                </c:pt>
                <c:pt idx="5">
                  <c:v>1.3333333333333333</c:v>
                </c:pt>
                <c:pt idx="6">
                  <c:v>1.3333333333333333</c:v>
                </c:pt>
                <c:pt idx="7">
                  <c:v>1</c:v>
                </c:pt>
                <c:pt idx="8">
                  <c:v>1.3333333333333333</c:v>
                </c:pt>
                <c:pt idx="9">
                  <c:v>1.3333333333333333</c:v>
                </c:pt>
                <c:pt idx="10">
                  <c:v>1.3333333333333333</c:v>
                </c:pt>
                <c:pt idx="11">
                  <c:v>1.3333333333333333</c:v>
                </c:pt>
                <c:pt idx="12">
                  <c:v>1.3333333333333333</c:v>
                </c:pt>
                <c:pt idx="13">
                  <c:v>1.3333333333333333</c:v>
                </c:pt>
                <c:pt idx="14">
                  <c:v>1.3333333333333333</c:v>
                </c:pt>
                <c:pt idx="15">
                  <c:v>1.3333333333333333</c:v>
                </c:pt>
                <c:pt idx="16">
                  <c:v>1.3333333333333333</c:v>
                </c:pt>
                <c:pt idx="17">
                  <c:v>1.3333333333333333</c:v>
                </c:pt>
                <c:pt idx="18">
                  <c:v>1.3333333333333333</c:v>
                </c:pt>
                <c:pt idx="19">
                  <c:v>1.3333333333333333</c:v>
                </c:pt>
                <c:pt idx="20">
                  <c:v>1.3333333333333333</c:v>
                </c:pt>
                <c:pt idx="21">
                  <c:v>1.3333333333333333</c:v>
                </c:pt>
                <c:pt idx="22">
                  <c:v>1.3333333333333333</c:v>
                </c:pt>
                <c:pt idx="23">
                  <c:v>1.3333333333333333</c:v>
                </c:pt>
                <c:pt idx="24">
                  <c:v>1.3333333333333333</c:v>
                </c:pt>
                <c:pt idx="25">
                  <c:v>1.3333333333333333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A5-40E1-8295-172CF8DC641A}"/>
            </c:ext>
          </c:extLst>
        </c:ser>
        <c:ser>
          <c:idx val="5"/>
          <c:order val="5"/>
          <c:tx>
            <c:strRef>
              <c:f>Semanas!$J$1</c:f>
              <c:strCache>
                <c:ptCount val="1"/>
                <c:pt idx="0">
                  <c:v>Horas reales</c:v>
                </c:pt>
              </c:strCache>
            </c:strRef>
          </c:tx>
          <c:marker>
            <c:symbol val="none"/>
          </c:marker>
          <c:cat>
            <c:numRef>
              <c:f>Semanas!$A$2:$A$28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Semanas!$J$2:$J$28</c:f>
              <c:numCache>
                <c:formatCode>0.0</c:formatCode>
                <c:ptCount val="27"/>
                <c:pt idx="0">
                  <c:v>8.8666666666666671</c:v>
                </c:pt>
                <c:pt idx="1">
                  <c:v>6.3666666666666663</c:v>
                </c:pt>
                <c:pt idx="2">
                  <c:v>9.5166666666666675</c:v>
                </c:pt>
                <c:pt idx="3">
                  <c:v>7.05</c:v>
                </c:pt>
                <c:pt idx="4">
                  <c:v>4.6833333333333336</c:v>
                </c:pt>
                <c:pt idx="5">
                  <c:v>9.4499999999999993</c:v>
                </c:pt>
                <c:pt idx="6">
                  <c:v>3.2666666666666666</c:v>
                </c:pt>
                <c:pt idx="7">
                  <c:v>0.58333333333333337</c:v>
                </c:pt>
                <c:pt idx="8">
                  <c:v>8.5500000000000007</c:v>
                </c:pt>
                <c:pt idx="9">
                  <c:v>10.6</c:v>
                </c:pt>
                <c:pt idx="10">
                  <c:v>5.7833333333333332</c:v>
                </c:pt>
                <c:pt idx="11">
                  <c:v>4.0516666666666667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A5-40E1-8295-172CF8DC6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Horas plan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numRef>
              <c:f>'Resumen 70.3'!$A$20:$A$34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'Resumen 70.3'!$B$20:$B$34</c:f>
              <c:numCache>
                <c:formatCode>yyyy\-mm\-dd</c:formatCode>
                <c:ptCount val="15"/>
                <c:pt idx="0">
                  <c:v>46142</c:v>
                </c:pt>
                <c:pt idx="1">
                  <c:v>46146</c:v>
                </c:pt>
                <c:pt idx="2">
                  <c:v>46153</c:v>
                </c:pt>
                <c:pt idx="3">
                  <c:v>46160</c:v>
                </c:pt>
                <c:pt idx="4">
                  <c:v>46167</c:v>
                </c:pt>
                <c:pt idx="5">
                  <c:v>46174</c:v>
                </c:pt>
                <c:pt idx="6">
                  <c:v>46181</c:v>
                </c:pt>
                <c:pt idx="7">
                  <c:v>46188</c:v>
                </c:pt>
                <c:pt idx="8">
                  <c:v>46195</c:v>
                </c:pt>
                <c:pt idx="9">
                  <c:v>46202</c:v>
                </c:pt>
                <c:pt idx="10">
                  <c:v>46209</c:v>
                </c:pt>
                <c:pt idx="11">
                  <c:v>46216</c:v>
                </c:pt>
                <c:pt idx="12">
                  <c:v>46223</c:v>
                </c:pt>
                <c:pt idx="13">
                  <c:v>46230</c:v>
                </c:pt>
                <c:pt idx="14">
                  <c:v>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A-43F7-BC1E-6BCCB01AE2B3}"/>
            </c:ext>
          </c:extLst>
        </c:ser>
        <c:ser>
          <c:idx val="1"/>
          <c:order val="1"/>
          <c:tx>
            <c:v>Series 2</c:v>
          </c:tx>
          <c:cat>
            <c:numRef>
              <c:f>'Resumen 70.3'!$A$20:$A$34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'Resumen 70.3'!$C$20:$C$34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A-43F7-BC1E-6BCCB01AE2B3}"/>
            </c:ext>
          </c:extLst>
        </c:ser>
        <c:ser>
          <c:idx val="2"/>
          <c:order val="2"/>
          <c:tx>
            <c:v>Series 3</c:v>
          </c:tx>
          <c:cat>
            <c:numRef>
              <c:f>'Resumen 70.3'!$A$20:$A$34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'Resumen 70.3'!$D$20:$D$34</c:f>
              <c:numCache>
                <c:formatCode>0.0</c:formatCode>
                <c:ptCount val="15"/>
                <c:pt idx="0">
                  <c:v>4.666666666666667</c:v>
                </c:pt>
                <c:pt idx="1">
                  <c:v>10.083333333333334</c:v>
                </c:pt>
                <c:pt idx="2">
                  <c:v>10.583333333333334</c:v>
                </c:pt>
                <c:pt idx="3">
                  <c:v>8.3333333333333339</c:v>
                </c:pt>
                <c:pt idx="4">
                  <c:v>10.916666666666666</c:v>
                </c:pt>
                <c:pt idx="5">
                  <c:v>10.916666666666666</c:v>
                </c:pt>
                <c:pt idx="6">
                  <c:v>11</c:v>
                </c:pt>
                <c:pt idx="7">
                  <c:v>8.4166666666666661</c:v>
                </c:pt>
                <c:pt idx="8">
                  <c:v>10.833333333333334</c:v>
                </c:pt>
                <c:pt idx="9">
                  <c:v>10.916666666666666</c:v>
                </c:pt>
                <c:pt idx="10">
                  <c:v>11</c:v>
                </c:pt>
                <c:pt idx="11">
                  <c:v>10.75</c:v>
                </c:pt>
                <c:pt idx="12">
                  <c:v>8.75</c:v>
                </c:pt>
                <c:pt idx="13">
                  <c:v>7.25</c:v>
                </c:pt>
                <c:pt idx="14">
                  <c:v>9.6833333333333336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A-43F7-BC1E-6BCCB01A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11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lan" displayName="TablaPlan" ref="A1:W295">
  <autoFilter ref="A1:W295" xr:uid="{00000000-0009-0000-0100-000001000000}"/>
  <tableColumns count="23">
    <tableColumn id="1" xr3:uid="{00000000-0010-0000-0000-000001000000}" name="Fecha"/>
    <tableColumn id="2" xr3:uid="{00000000-0010-0000-0000-000002000000}" name="Día"/>
    <tableColumn id="3" xr3:uid="{00000000-0010-0000-0000-000003000000}" name="Semana"/>
    <tableColumn id="4" xr3:uid="{00000000-0010-0000-0000-000004000000}" name="Inicio semana"/>
    <tableColumn id="5" xr3:uid="{00000000-0010-0000-0000-000005000000}" name="Fase"/>
    <tableColumn id="6" xr3:uid="{00000000-0010-0000-0000-000006000000}" name="Disciplina"/>
    <tableColumn id="7" xr3:uid="{00000000-0010-0000-0000-000007000000}" name="Sesión"/>
    <tableColumn id="8" xr3:uid="{00000000-0010-0000-0000-000008000000}" name="Objetivo"/>
    <tableColumn id="9" xr3:uid="{00000000-0010-0000-0000-000009000000}" name="Duración plan (min)"/>
    <tableColumn id="10" xr3:uid="{00000000-0010-0000-0000-00000A000000}" name="Distancia plan"/>
    <tableColumn id="11" xr3:uid="{00000000-0010-0000-0000-00000B000000}" name="Unidad"/>
    <tableColumn id="12" xr3:uid="{00000000-0010-0000-0000-00000C000000}" name="Zona objetivo"/>
    <tableColumn id="13" xr3:uid="{00000000-0010-0000-0000-00000D000000}" name="Indicaciones"/>
    <tableColumn id="14" xr3:uid="{00000000-0010-0000-0000-00000E000000}" name="Estado"/>
    <tableColumn id="15" xr3:uid="{00000000-0010-0000-0000-00000F000000}" name="Duración real (min)"/>
    <tableColumn id="16" xr3:uid="{00000000-0010-0000-0000-000010000000}" name="Distancia real"/>
    <tableColumn id="17" xr3:uid="{00000000-0010-0000-0000-000011000000}" name="RPE"/>
    <tableColumn id="18" xr3:uid="{00000000-0010-0000-0000-000012000000}" name="FC media"/>
    <tableColumn id="19" xr3:uid="{00000000-0010-0000-0000-000013000000}" name="FC máx"/>
    <tableColumn id="20" xr3:uid="{00000000-0010-0000-0000-000014000000}" name="Potencia media (W)"/>
    <tableColumn id="21" xr3:uid="{00000000-0010-0000-0000-000015000000}" name="NP (W)"/>
    <tableColumn id="22" xr3:uid="{00000000-0010-0000-0000-000016000000}" name="Comentarios"/>
    <tableColumn id="23" xr3:uid="{00000000-0010-0000-0000-000017000000}" name="Min reales (auto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Tests" displayName="TablaTests" ref="A1:E6">
  <autoFilter ref="A1:E6" xr:uid="{00000000-0009-0000-0100-000002000000}"/>
  <tableColumns count="5">
    <tableColumn id="1" xr3:uid="{00000000-0010-0000-0100-000001000000}" name="Fecha"/>
    <tableColumn id="2" xr3:uid="{00000000-0010-0000-0100-000002000000}" name="Prueba"/>
    <tableColumn id="3" xr3:uid="{00000000-0010-0000-0100-000003000000}" name="Resultado"/>
    <tableColumn id="4" xr3:uid="{00000000-0010-0000-0100-000004000000}" name="Unidad"/>
    <tableColumn id="5" xr3:uid="{00000000-0010-0000-0100-000005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"/>
    </sheetView>
  </sheetViews>
  <sheetFormatPr baseColWidth="10" defaultColWidth="8.7265625" defaultRowHeight="14.5" x14ac:dyDescent="0.35"/>
  <cols>
    <col min="1" max="1" width="22" customWidth="1"/>
    <col min="2" max="2" width="81.36328125" customWidth="1"/>
  </cols>
  <sheetData>
    <row r="1" spans="1:5" ht="23.5" x14ac:dyDescent="0.55000000000000004">
      <c r="A1" s="46" t="s">
        <v>0</v>
      </c>
      <c r="B1" s="47"/>
      <c r="C1" s="47"/>
      <c r="D1" s="47"/>
      <c r="E1" s="47"/>
    </row>
    <row r="3" spans="1:5" x14ac:dyDescent="0.35">
      <c r="A3" s="1" t="s">
        <v>1</v>
      </c>
      <c r="B3">
        <v>205</v>
      </c>
    </row>
    <row r="4" spans="1:5" x14ac:dyDescent="0.35">
      <c r="A4" s="1" t="s">
        <v>2</v>
      </c>
      <c r="B4" t="s">
        <v>3</v>
      </c>
    </row>
    <row r="5" spans="1:5" x14ac:dyDescent="0.35">
      <c r="A5" s="1" t="s">
        <v>4</v>
      </c>
      <c r="B5" t="s">
        <v>5</v>
      </c>
    </row>
    <row r="7" spans="1:5" x14ac:dyDescent="0.35">
      <c r="A7" s="2" t="s">
        <v>6</v>
      </c>
      <c r="B7" s="3">
        <v>1</v>
      </c>
    </row>
    <row r="8" spans="1:5" x14ac:dyDescent="0.35">
      <c r="A8" s="2" t="s">
        <v>7</v>
      </c>
      <c r="B8" s="3">
        <f>Semanas!E2</f>
        <v>11.083333333333334</v>
      </c>
    </row>
    <row r="9" spans="1:5" x14ac:dyDescent="0.35">
      <c r="A9" s="2" t="s">
        <v>8</v>
      </c>
      <c r="B9" s="3">
        <f>Semanas!J2</f>
        <v>8.8666666666666671</v>
      </c>
    </row>
    <row r="10" spans="1:5" x14ac:dyDescent="0.35">
      <c r="A10" s="2" t="s">
        <v>9</v>
      </c>
      <c r="B10" s="4">
        <f>Semanas!O2</f>
        <v>0.8</v>
      </c>
    </row>
    <row r="11" spans="1:5" ht="139.65" customHeight="1" x14ac:dyDescent="0.35"/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5"/>
  <sheetViews>
    <sheetView workbookViewId="0"/>
  </sheetViews>
  <sheetFormatPr baseColWidth="10" defaultColWidth="8.7265625" defaultRowHeight="14.5" x14ac:dyDescent="0.35"/>
  <cols>
    <col min="1" max="1" width="12" customWidth="1"/>
    <col min="2" max="2" width="11" customWidth="1"/>
    <col min="3" max="3" width="7" customWidth="1"/>
    <col min="4" max="4" width="12" customWidth="1"/>
    <col min="5" max="5" width="24" customWidth="1"/>
    <col min="6" max="6" width="11" customWidth="1"/>
    <col min="7" max="7" width="28" customWidth="1"/>
    <col min="8" max="9" width="16" customWidth="1"/>
    <col min="10" max="10" width="12" customWidth="1"/>
    <col min="11" max="11" width="8" customWidth="1"/>
    <col min="12" max="12" width="18" customWidth="1"/>
    <col min="13" max="13" width="50" customWidth="1"/>
    <col min="14" max="14" width="12" customWidth="1"/>
    <col min="15" max="15" width="16" customWidth="1"/>
    <col min="16" max="16" width="14" customWidth="1"/>
    <col min="17" max="17" width="8" customWidth="1"/>
    <col min="18" max="19" width="9" customWidth="1"/>
    <col min="20" max="20" width="16" customWidth="1"/>
    <col min="21" max="21" width="10" customWidth="1"/>
    <col min="22" max="22" width="22" customWidth="1"/>
    <col min="23" max="23" width="14" customWidth="1"/>
  </cols>
  <sheetData>
    <row r="1" spans="1:23" ht="16.899999999999999" customHeight="1" x14ac:dyDescent="0.35">
      <c r="A1" s="5" t="s">
        <v>10</v>
      </c>
      <c r="B1" s="5" t="s">
        <v>11</v>
      </c>
      <c r="C1" s="5" t="s">
        <v>6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</row>
    <row r="2" spans="1:23" ht="18.649999999999999" customHeight="1" x14ac:dyDescent="0.35">
      <c r="A2" s="6">
        <v>46055</v>
      </c>
      <c r="B2" s="7" t="s">
        <v>32</v>
      </c>
      <c r="C2" s="7">
        <v>1</v>
      </c>
      <c r="D2" s="6">
        <v>46055</v>
      </c>
      <c r="E2" s="8" t="s">
        <v>33</v>
      </c>
      <c r="F2" s="7" t="s">
        <v>34</v>
      </c>
      <c r="G2" s="8" t="s">
        <v>35</v>
      </c>
      <c r="H2" s="8" t="s">
        <v>34</v>
      </c>
      <c r="I2" s="7">
        <v>45</v>
      </c>
      <c r="J2" s="7"/>
      <c r="K2" s="7"/>
      <c r="L2" s="8" t="s">
        <v>36</v>
      </c>
      <c r="M2" s="8" t="s">
        <v>37</v>
      </c>
      <c r="N2" s="7" t="s">
        <v>38</v>
      </c>
      <c r="O2" s="7">
        <v>45</v>
      </c>
      <c r="P2" s="7"/>
      <c r="Q2" s="7"/>
      <c r="R2" s="7"/>
      <c r="S2" s="7"/>
      <c r="T2" s="7"/>
      <c r="U2" s="7"/>
      <c r="V2" s="8"/>
      <c r="W2" s="9">
        <f t="shared" ref="W2:W65" si="0">IF(OR($N2="Hecho",$N2="Parcial"),IF($O2="",0,$O2),0)</f>
        <v>45</v>
      </c>
    </row>
    <row r="3" spans="1:23" ht="18.649999999999999" customHeight="1" x14ac:dyDescent="0.35">
      <c r="A3" s="6">
        <v>46055</v>
      </c>
      <c r="B3" s="7" t="s">
        <v>32</v>
      </c>
      <c r="C3" s="7">
        <v>1</v>
      </c>
      <c r="D3" s="6">
        <v>46055</v>
      </c>
      <c r="E3" s="8" t="s">
        <v>33</v>
      </c>
      <c r="F3" s="7" t="s">
        <v>39</v>
      </c>
      <c r="G3" s="8" t="s">
        <v>40</v>
      </c>
      <c r="H3" s="8" t="s">
        <v>41</v>
      </c>
      <c r="I3" s="7">
        <v>40</v>
      </c>
      <c r="J3" s="7"/>
      <c r="K3" s="7"/>
      <c r="L3" s="8" t="s">
        <v>42</v>
      </c>
      <c r="M3" s="8" t="s">
        <v>43</v>
      </c>
      <c r="N3" s="7" t="s">
        <v>38</v>
      </c>
      <c r="O3" s="7">
        <v>39</v>
      </c>
      <c r="P3" s="7">
        <v>5.75</v>
      </c>
      <c r="Q3" s="7"/>
      <c r="R3" s="7">
        <v>136</v>
      </c>
      <c r="S3" s="7">
        <v>156</v>
      </c>
      <c r="T3" s="7">
        <v>276</v>
      </c>
      <c r="U3" s="7"/>
      <c r="V3" s="8" t="s">
        <v>44</v>
      </c>
      <c r="W3" s="9">
        <f t="shared" si="0"/>
        <v>39</v>
      </c>
    </row>
    <row r="4" spans="1:23" ht="18.649999999999999" customHeight="1" x14ac:dyDescent="0.35">
      <c r="A4" s="6">
        <v>46056</v>
      </c>
      <c r="B4" s="7" t="s">
        <v>45</v>
      </c>
      <c r="C4" s="7">
        <v>1</v>
      </c>
      <c r="D4" s="6">
        <v>46055</v>
      </c>
      <c r="E4" s="8" t="s">
        <v>33</v>
      </c>
      <c r="F4" s="7" t="s">
        <v>46</v>
      </c>
      <c r="G4" s="8" t="s">
        <v>47</v>
      </c>
      <c r="H4" s="8" t="s">
        <v>48</v>
      </c>
      <c r="I4" s="7">
        <v>45</v>
      </c>
      <c r="J4" s="7">
        <v>2000</v>
      </c>
      <c r="K4" s="7" t="s">
        <v>49</v>
      </c>
      <c r="L4" s="8" t="s">
        <v>50</v>
      </c>
      <c r="M4" s="8" t="s">
        <v>51</v>
      </c>
      <c r="N4" s="7" t="s">
        <v>52</v>
      </c>
      <c r="O4" s="7">
        <v>55</v>
      </c>
      <c r="P4" s="7">
        <v>2000</v>
      </c>
      <c r="Q4" s="7"/>
      <c r="R4" s="7">
        <v>133</v>
      </c>
      <c r="S4" s="7">
        <v>173</v>
      </c>
      <c r="T4" s="7"/>
      <c r="U4" s="7"/>
      <c r="V4" s="8"/>
      <c r="W4" s="9">
        <f t="shared" si="0"/>
        <v>55</v>
      </c>
    </row>
    <row r="5" spans="1:23" ht="18.649999999999999" customHeight="1" x14ac:dyDescent="0.35">
      <c r="A5" s="6">
        <v>46056</v>
      </c>
      <c r="B5" s="7" t="s">
        <v>45</v>
      </c>
      <c r="C5" s="7">
        <v>1</v>
      </c>
      <c r="D5" s="6">
        <v>46055</v>
      </c>
      <c r="E5" s="8" t="s">
        <v>33</v>
      </c>
      <c r="F5" s="7" t="s">
        <v>53</v>
      </c>
      <c r="G5" s="8" t="s">
        <v>54</v>
      </c>
      <c r="H5" s="8" t="s">
        <v>41</v>
      </c>
      <c r="I5" s="7">
        <v>60</v>
      </c>
      <c r="J5" s="7"/>
      <c r="K5" s="7"/>
      <c r="L5" s="8" t="s">
        <v>55</v>
      </c>
      <c r="M5" s="8" t="s">
        <v>56</v>
      </c>
      <c r="N5" s="7" t="s">
        <v>38</v>
      </c>
      <c r="O5" s="7">
        <v>50</v>
      </c>
      <c r="P5" s="7">
        <v>23.39</v>
      </c>
      <c r="Q5" s="7"/>
      <c r="R5" s="7">
        <v>136</v>
      </c>
      <c r="S5" s="7">
        <v>158</v>
      </c>
      <c r="T5" s="7">
        <v>130</v>
      </c>
      <c r="U5" s="7"/>
      <c r="V5" s="8"/>
      <c r="W5" s="9">
        <f t="shared" si="0"/>
        <v>50</v>
      </c>
    </row>
    <row r="6" spans="1:23" ht="18.649999999999999" customHeight="1" x14ac:dyDescent="0.35">
      <c r="A6" s="6">
        <v>46057</v>
      </c>
      <c r="B6" s="7" t="s">
        <v>57</v>
      </c>
      <c r="C6" s="7">
        <v>1</v>
      </c>
      <c r="D6" s="6">
        <v>46055</v>
      </c>
      <c r="E6" s="8" t="s">
        <v>33</v>
      </c>
      <c r="F6" s="7" t="s">
        <v>39</v>
      </c>
      <c r="G6" s="8" t="s">
        <v>58</v>
      </c>
      <c r="H6" s="8" t="s">
        <v>59</v>
      </c>
      <c r="I6" s="7">
        <v>45</v>
      </c>
      <c r="J6" s="7"/>
      <c r="K6" s="7"/>
      <c r="L6" s="8" t="s">
        <v>60</v>
      </c>
      <c r="M6" s="8" t="s">
        <v>61</v>
      </c>
      <c r="N6" s="7" t="s">
        <v>52</v>
      </c>
      <c r="O6" s="7">
        <v>40</v>
      </c>
      <c r="P6" s="7">
        <v>6.35</v>
      </c>
      <c r="Q6" s="7"/>
      <c r="R6" s="7">
        <v>137</v>
      </c>
      <c r="S6" s="7">
        <v>159</v>
      </c>
      <c r="T6" s="7"/>
      <c r="U6" s="7"/>
      <c r="V6" s="8"/>
      <c r="W6" s="9">
        <f t="shared" si="0"/>
        <v>40</v>
      </c>
    </row>
    <row r="7" spans="1:23" ht="18.649999999999999" customHeight="1" x14ac:dyDescent="0.35">
      <c r="A7" s="6">
        <v>46058</v>
      </c>
      <c r="B7" s="7" t="s">
        <v>62</v>
      </c>
      <c r="C7" s="7">
        <v>1</v>
      </c>
      <c r="D7" s="6">
        <v>46055</v>
      </c>
      <c r="E7" s="8" t="s">
        <v>33</v>
      </c>
      <c r="F7" s="7" t="s">
        <v>53</v>
      </c>
      <c r="G7" s="8" t="s">
        <v>54</v>
      </c>
      <c r="H7" s="8" t="s">
        <v>41</v>
      </c>
      <c r="I7" s="7">
        <v>70</v>
      </c>
      <c r="J7" s="7"/>
      <c r="K7" s="7"/>
      <c r="L7" s="8" t="s">
        <v>55</v>
      </c>
      <c r="M7" s="8" t="s">
        <v>63</v>
      </c>
      <c r="N7" s="7" t="s">
        <v>52</v>
      </c>
      <c r="O7" s="7">
        <v>60</v>
      </c>
      <c r="P7" s="7">
        <v>24.6</v>
      </c>
      <c r="Q7" s="7"/>
      <c r="R7" s="7">
        <v>121</v>
      </c>
      <c r="S7" s="7">
        <v>168</v>
      </c>
      <c r="T7" s="7">
        <v>122</v>
      </c>
      <c r="U7" s="7"/>
      <c r="V7" s="8"/>
      <c r="W7" s="9">
        <f t="shared" si="0"/>
        <v>60</v>
      </c>
    </row>
    <row r="8" spans="1:23" ht="18.649999999999999" customHeight="1" x14ac:dyDescent="0.35">
      <c r="A8" s="6">
        <v>46058</v>
      </c>
      <c r="B8" s="7" t="s">
        <v>62</v>
      </c>
      <c r="C8" s="7">
        <v>1</v>
      </c>
      <c r="D8" s="6">
        <v>46055</v>
      </c>
      <c r="E8" s="8" t="s">
        <v>33</v>
      </c>
      <c r="F8" s="7" t="s">
        <v>39</v>
      </c>
      <c r="G8" s="8" t="s">
        <v>64</v>
      </c>
      <c r="H8" s="8" t="s">
        <v>41</v>
      </c>
      <c r="I8" s="7">
        <v>20</v>
      </c>
      <c r="J8" s="7"/>
      <c r="K8" s="7"/>
      <c r="L8" s="8" t="s">
        <v>42</v>
      </c>
      <c r="M8" s="8" t="s">
        <v>65</v>
      </c>
      <c r="N8" s="7" t="s">
        <v>52</v>
      </c>
      <c r="O8" s="7">
        <v>22</v>
      </c>
      <c r="P8" s="7">
        <v>4</v>
      </c>
      <c r="Q8" s="7"/>
      <c r="R8" s="7">
        <v>160</v>
      </c>
      <c r="S8" s="7">
        <v>171</v>
      </c>
      <c r="T8" s="7"/>
      <c r="U8" s="7"/>
      <c r="V8" s="8"/>
      <c r="W8" s="9">
        <f t="shared" si="0"/>
        <v>22</v>
      </c>
    </row>
    <row r="9" spans="1:23" ht="18.649999999999999" customHeight="1" x14ac:dyDescent="0.35">
      <c r="A9" s="6">
        <v>46059</v>
      </c>
      <c r="B9" s="7" t="s">
        <v>66</v>
      </c>
      <c r="C9" s="7">
        <v>1</v>
      </c>
      <c r="D9" s="6">
        <v>46055</v>
      </c>
      <c r="E9" s="8" t="s">
        <v>33</v>
      </c>
      <c r="F9" s="7" t="s">
        <v>46</v>
      </c>
      <c r="G9" s="8" t="s">
        <v>67</v>
      </c>
      <c r="H9" s="8" t="s">
        <v>68</v>
      </c>
      <c r="I9" s="7">
        <v>45</v>
      </c>
      <c r="J9" s="7">
        <v>1800</v>
      </c>
      <c r="K9" s="7" t="s">
        <v>49</v>
      </c>
      <c r="L9" s="8" t="s">
        <v>42</v>
      </c>
      <c r="M9" s="8" t="s">
        <v>69</v>
      </c>
      <c r="N9" s="7" t="s">
        <v>52</v>
      </c>
      <c r="O9" s="7">
        <v>31</v>
      </c>
      <c r="P9" s="7">
        <v>1450</v>
      </c>
      <c r="Q9" s="7"/>
      <c r="R9" s="7">
        <v>133</v>
      </c>
      <c r="S9" s="7">
        <v>148</v>
      </c>
      <c r="T9" s="7"/>
      <c r="U9" s="7"/>
      <c r="V9" s="8"/>
      <c r="W9" s="9">
        <f t="shared" si="0"/>
        <v>31</v>
      </c>
    </row>
    <row r="10" spans="1:23" ht="18.649999999999999" customHeight="1" x14ac:dyDescent="0.35">
      <c r="A10" s="6">
        <v>46059</v>
      </c>
      <c r="B10" s="7" t="s">
        <v>66</v>
      </c>
      <c r="C10" s="7">
        <v>1</v>
      </c>
      <c r="D10" s="6">
        <v>46055</v>
      </c>
      <c r="E10" s="8" t="s">
        <v>33</v>
      </c>
      <c r="F10" s="7" t="s">
        <v>34</v>
      </c>
      <c r="G10" s="8" t="s">
        <v>70</v>
      </c>
      <c r="H10" s="8" t="s">
        <v>34</v>
      </c>
      <c r="I10" s="7">
        <v>35</v>
      </c>
      <c r="J10" s="7"/>
      <c r="K10" s="7"/>
      <c r="L10" s="8" t="s">
        <v>36</v>
      </c>
      <c r="M10" s="8" t="s">
        <v>71</v>
      </c>
      <c r="N10" s="7" t="s">
        <v>72</v>
      </c>
      <c r="O10" s="7"/>
      <c r="P10" s="7"/>
      <c r="Q10" s="7"/>
      <c r="R10" s="7"/>
      <c r="S10" s="7"/>
      <c r="T10" s="7"/>
      <c r="U10" s="7"/>
      <c r="V10" s="8"/>
      <c r="W10" s="9">
        <f t="shared" si="0"/>
        <v>0</v>
      </c>
    </row>
    <row r="11" spans="1:23" ht="18.649999999999999" customHeight="1" x14ac:dyDescent="0.35">
      <c r="A11" s="6">
        <v>46060</v>
      </c>
      <c r="B11" s="7" t="s">
        <v>73</v>
      </c>
      <c r="C11" s="7">
        <v>1</v>
      </c>
      <c r="D11" s="6">
        <v>46055</v>
      </c>
      <c r="E11" s="8" t="s">
        <v>33</v>
      </c>
      <c r="F11" s="7" t="s">
        <v>39</v>
      </c>
      <c r="G11" s="8" t="s">
        <v>74</v>
      </c>
      <c r="H11" s="8" t="s">
        <v>41</v>
      </c>
      <c r="I11" s="7">
        <v>80</v>
      </c>
      <c r="J11" s="7"/>
      <c r="K11" s="7"/>
      <c r="L11" s="8" t="s">
        <v>42</v>
      </c>
      <c r="M11" s="8" t="s">
        <v>75</v>
      </c>
      <c r="N11" s="7" t="s">
        <v>52</v>
      </c>
      <c r="O11" s="7">
        <v>40</v>
      </c>
      <c r="P11" s="7">
        <v>2.34</v>
      </c>
      <c r="Q11" s="7"/>
      <c r="R11" s="7">
        <v>151</v>
      </c>
      <c r="S11" s="7">
        <v>174</v>
      </c>
      <c r="T11" s="7"/>
      <c r="U11" s="7"/>
      <c r="V11" s="8" t="s">
        <v>76</v>
      </c>
      <c r="W11" s="9">
        <f t="shared" si="0"/>
        <v>40</v>
      </c>
    </row>
    <row r="12" spans="1:23" ht="18.649999999999999" customHeight="1" x14ac:dyDescent="0.35">
      <c r="A12" s="6">
        <v>46061</v>
      </c>
      <c r="B12" s="7" t="s">
        <v>77</v>
      </c>
      <c r="C12" s="7">
        <v>1</v>
      </c>
      <c r="D12" s="6">
        <v>46055</v>
      </c>
      <c r="E12" s="8" t="s">
        <v>33</v>
      </c>
      <c r="F12" s="7" t="s">
        <v>53</v>
      </c>
      <c r="G12" s="8" t="s">
        <v>78</v>
      </c>
      <c r="H12" s="8" t="s">
        <v>79</v>
      </c>
      <c r="I12" s="7">
        <v>180</v>
      </c>
      <c r="J12" s="7"/>
      <c r="K12" s="7"/>
      <c r="L12" s="8" t="s">
        <v>80</v>
      </c>
      <c r="M12" s="8" t="s">
        <v>81</v>
      </c>
      <c r="N12" s="7" t="s">
        <v>52</v>
      </c>
      <c r="O12" s="7">
        <v>150</v>
      </c>
      <c r="P12" s="7">
        <v>80.81</v>
      </c>
      <c r="Q12" s="7"/>
      <c r="R12" s="7">
        <v>157</v>
      </c>
      <c r="S12" s="7">
        <v>176</v>
      </c>
      <c r="T12" s="7">
        <v>164</v>
      </c>
      <c r="U12" s="7"/>
      <c r="V12" s="8"/>
      <c r="W12" s="9">
        <f t="shared" si="0"/>
        <v>150</v>
      </c>
    </row>
    <row r="13" spans="1:23" ht="18.649999999999999" customHeight="1" x14ac:dyDescent="0.35">
      <c r="A13" s="6">
        <v>46062</v>
      </c>
      <c r="B13" s="7" t="s">
        <v>32</v>
      </c>
      <c r="C13" s="7">
        <v>2</v>
      </c>
      <c r="D13" s="6">
        <v>46062</v>
      </c>
      <c r="E13" s="8" t="s">
        <v>82</v>
      </c>
      <c r="F13" s="7" t="s">
        <v>34</v>
      </c>
      <c r="G13" s="8" t="s">
        <v>35</v>
      </c>
      <c r="H13" s="8" t="s">
        <v>34</v>
      </c>
      <c r="I13" s="7">
        <v>45</v>
      </c>
      <c r="J13" s="7"/>
      <c r="K13" s="7"/>
      <c r="L13" s="8" t="s">
        <v>36</v>
      </c>
      <c r="M13" s="8" t="s">
        <v>37</v>
      </c>
      <c r="N13" s="7" t="s">
        <v>52</v>
      </c>
      <c r="O13" s="7">
        <v>30</v>
      </c>
      <c r="P13" s="7"/>
      <c r="Q13" s="7"/>
      <c r="R13" s="7"/>
      <c r="S13" s="7"/>
      <c r="T13" s="7"/>
      <c r="U13" s="7"/>
      <c r="V13" s="8" t="s">
        <v>83</v>
      </c>
      <c r="W13" s="9">
        <f t="shared" si="0"/>
        <v>30</v>
      </c>
    </row>
    <row r="14" spans="1:23" ht="18.649999999999999" customHeight="1" x14ac:dyDescent="0.35">
      <c r="A14" s="6">
        <v>46062</v>
      </c>
      <c r="B14" s="7" t="s">
        <v>32</v>
      </c>
      <c r="C14" s="7">
        <v>2</v>
      </c>
      <c r="D14" s="6">
        <v>46062</v>
      </c>
      <c r="E14" s="8" t="s">
        <v>82</v>
      </c>
      <c r="F14" s="7" t="s">
        <v>39</v>
      </c>
      <c r="G14" s="8" t="s">
        <v>40</v>
      </c>
      <c r="H14" s="8" t="s">
        <v>41</v>
      </c>
      <c r="I14" s="7">
        <v>40</v>
      </c>
      <c r="J14" s="7"/>
      <c r="K14" s="7"/>
      <c r="L14" s="8" t="s">
        <v>42</v>
      </c>
      <c r="M14" s="8" t="s">
        <v>43</v>
      </c>
      <c r="N14" s="7" t="s">
        <v>38</v>
      </c>
      <c r="O14" s="7">
        <v>49</v>
      </c>
      <c r="P14" s="7">
        <v>7.47</v>
      </c>
      <c r="Q14" s="7"/>
      <c r="R14" s="7">
        <v>137</v>
      </c>
      <c r="S14" s="7">
        <v>149</v>
      </c>
      <c r="T14" s="7"/>
      <c r="U14" s="7"/>
      <c r="V14" s="8"/>
      <c r="W14" s="9">
        <f t="shared" si="0"/>
        <v>49</v>
      </c>
    </row>
    <row r="15" spans="1:23" ht="18.649999999999999" customHeight="1" x14ac:dyDescent="0.35">
      <c r="A15" s="6">
        <v>46063</v>
      </c>
      <c r="B15" s="7" t="s">
        <v>45</v>
      </c>
      <c r="C15" s="7">
        <v>2</v>
      </c>
      <c r="D15" s="6">
        <v>46062</v>
      </c>
      <c r="E15" s="8" t="s">
        <v>82</v>
      </c>
      <c r="F15" s="7" t="s">
        <v>46</v>
      </c>
      <c r="G15" s="8" t="s">
        <v>47</v>
      </c>
      <c r="H15" s="8" t="s">
        <v>48</v>
      </c>
      <c r="I15" s="7">
        <v>45</v>
      </c>
      <c r="J15" s="7">
        <v>2000</v>
      </c>
      <c r="K15" s="7" t="s">
        <v>49</v>
      </c>
      <c r="L15" s="8" t="s">
        <v>50</v>
      </c>
      <c r="M15" s="8" t="s">
        <v>51</v>
      </c>
      <c r="N15" s="7"/>
      <c r="O15" s="7"/>
      <c r="P15" s="7"/>
      <c r="Q15" s="7"/>
      <c r="R15" s="7"/>
      <c r="S15" s="7"/>
      <c r="T15" s="7"/>
      <c r="U15" s="7"/>
      <c r="V15" s="8"/>
      <c r="W15" s="9">
        <f t="shared" si="0"/>
        <v>0</v>
      </c>
    </row>
    <row r="16" spans="1:23" ht="18.649999999999999" customHeight="1" x14ac:dyDescent="0.35">
      <c r="A16" s="6">
        <v>46063</v>
      </c>
      <c r="B16" s="7" t="s">
        <v>45</v>
      </c>
      <c r="C16" s="7">
        <v>2</v>
      </c>
      <c r="D16" s="6">
        <v>46062</v>
      </c>
      <c r="E16" s="8" t="s">
        <v>82</v>
      </c>
      <c r="F16" s="7" t="s">
        <v>53</v>
      </c>
      <c r="G16" s="8" t="s">
        <v>54</v>
      </c>
      <c r="H16" s="8" t="s">
        <v>41</v>
      </c>
      <c r="I16" s="7">
        <v>70</v>
      </c>
      <c r="J16" s="7"/>
      <c r="K16" s="7"/>
      <c r="L16" s="8" t="s">
        <v>55</v>
      </c>
      <c r="M16" s="8" t="s">
        <v>56</v>
      </c>
      <c r="N16" s="7" t="s">
        <v>38</v>
      </c>
      <c r="O16" s="7">
        <v>60</v>
      </c>
      <c r="P16" s="7">
        <v>29.12</v>
      </c>
      <c r="Q16" s="7"/>
      <c r="R16" s="7">
        <v>133</v>
      </c>
      <c r="S16" s="7">
        <v>159</v>
      </c>
      <c r="T16" s="7">
        <v>135</v>
      </c>
      <c r="U16" s="7"/>
      <c r="V16" s="8"/>
      <c r="W16" s="9">
        <f t="shared" si="0"/>
        <v>60</v>
      </c>
    </row>
    <row r="17" spans="1:23" ht="18.649999999999999" customHeight="1" x14ac:dyDescent="0.35">
      <c r="A17" s="6">
        <v>46064</v>
      </c>
      <c r="B17" s="7" t="s">
        <v>57</v>
      </c>
      <c r="C17" s="7">
        <v>2</v>
      </c>
      <c r="D17" s="6">
        <v>46062</v>
      </c>
      <c r="E17" s="8" t="s">
        <v>82</v>
      </c>
      <c r="F17" s="7" t="s">
        <v>39</v>
      </c>
      <c r="G17" s="8" t="s">
        <v>58</v>
      </c>
      <c r="H17" s="8" t="s">
        <v>59</v>
      </c>
      <c r="I17" s="7">
        <v>45</v>
      </c>
      <c r="J17" s="7"/>
      <c r="K17" s="7"/>
      <c r="L17" s="8" t="s">
        <v>60</v>
      </c>
      <c r="M17" s="8" t="s">
        <v>61</v>
      </c>
      <c r="N17" s="7" t="s">
        <v>38</v>
      </c>
      <c r="O17" s="7">
        <v>40</v>
      </c>
      <c r="P17" s="7">
        <v>6.25</v>
      </c>
      <c r="Q17" s="7"/>
      <c r="R17" s="7">
        <v>139</v>
      </c>
      <c r="S17" s="7">
        <v>170</v>
      </c>
      <c r="T17" s="7"/>
      <c r="U17" s="7"/>
      <c r="V17" s="8"/>
      <c r="W17" s="9">
        <f t="shared" si="0"/>
        <v>40</v>
      </c>
    </row>
    <row r="18" spans="1:23" ht="18.649999999999999" customHeight="1" x14ac:dyDescent="0.35">
      <c r="A18" s="6">
        <v>46065</v>
      </c>
      <c r="B18" s="7" t="s">
        <v>62</v>
      </c>
      <c r="C18" s="7">
        <v>2</v>
      </c>
      <c r="D18" s="6">
        <v>46062</v>
      </c>
      <c r="E18" s="8" t="s">
        <v>82</v>
      </c>
      <c r="F18" s="7" t="s">
        <v>53</v>
      </c>
      <c r="G18" s="8" t="s">
        <v>54</v>
      </c>
      <c r="H18" s="8" t="s">
        <v>41</v>
      </c>
      <c r="I18" s="7">
        <v>70</v>
      </c>
      <c r="J18" s="7"/>
      <c r="K18" s="7"/>
      <c r="L18" s="8" t="s">
        <v>55</v>
      </c>
      <c r="M18" s="8" t="s">
        <v>63</v>
      </c>
      <c r="N18" s="7" t="s">
        <v>52</v>
      </c>
      <c r="O18" s="7">
        <v>50</v>
      </c>
      <c r="P18" s="7">
        <v>18.86</v>
      </c>
      <c r="Q18" s="7"/>
      <c r="R18" s="7">
        <v>124</v>
      </c>
      <c r="S18" s="7">
        <v>172</v>
      </c>
      <c r="T18" s="7">
        <v>107</v>
      </c>
      <c r="U18" s="7"/>
      <c r="V18" s="8"/>
      <c r="W18" s="9">
        <f t="shared" si="0"/>
        <v>50</v>
      </c>
    </row>
    <row r="19" spans="1:23" ht="18.649999999999999" customHeight="1" x14ac:dyDescent="0.35">
      <c r="A19" s="6">
        <v>46065</v>
      </c>
      <c r="B19" s="7" t="s">
        <v>62</v>
      </c>
      <c r="C19" s="7">
        <v>2</v>
      </c>
      <c r="D19" s="6">
        <v>46062</v>
      </c>
      <c r="E19" s="8" t="s">
        <v>82</v>
      </c>
      <c r="F19" s="7" t="s">
        <v>39</v>
      </c>
      <c r="G19" s="8" t="s">
        <v>64</v>
      </c>
      <c r="H19" s="8" t="s">
        <v>41</v>
      </c>
      <c r="I19" s="7">
        <v>20</v>
      </c>
      <c r="J19" s="7"/>
      <c r="K19" s="7"/>
      <c r="L19" s="8" t="s">
        <v>42</v>
      </c>
      <c r="M19" s="8" t="s">
        <v>65</v>
      </c>
      <c r="N19" s="7" t="s">
        <v>52</v>
      </c>
      <c r="O19" s="7">
        <v>24</v>
      </c>
      <c r="P19" s="7">
        <v>4.18</v>
      </c>
      <c r="Q19" s="7"/>
      <c r="R19" s="7">
        <v>162</v>
      </c>
      <c r="S19" s="7">
        <v>171</v>
      </c>
      <c r="T19" s="7"/>
      <c r="U19" s="7"/>
      <c r="V19" s="8"/>
      <c r="W19" s="9">
        <f t="shared" si="0"/>
        <v>24</v>
      </c>
    </row>
    <row r="20" spans="1:23" ht="18.649999999999999" customHeight="1" x14ac:dyDescent="0.35">
      <c r="A20" s="6">
        <v>46066</v>
      </c>
      <c r="B20" s="7" t="s">
        <v>66</v>
      </c>
      <c r="C20" s="7">
        <v>2</v>
      </c>
      <c r="D20" s="6">
        <v>46062</v>
      </c>
      <c r="E20" s="8" t="s">
        <v>82</v>
      </c>
      <c r="F20" s="7" t="s">
        <v>46</v>
      </c>
      <c r="G20" s="8" t="s">
        <v>67</v>
      </c>
      <c r="H20" s="8" t="s">
        <v>68</v>
      </c>
      <c r="I20" s="7">
        <v>45</v>
      </c>
      <c r="J20" s="7">
        <v>1800</v>
      </c>
      <c r="K20" s="7" t="s">
        <v>49</v>
      </c>
      <c r="L20" s="8" t="s">
        <v>42</v>
      </c>
      <c r="M20" s="8" t="s">
        <v>69</v>
      </c>
      <c r="N20" s="7" t="s">
        <v>52</v>
      </c>
      <c r="O20" s="7">
        <v>39</v>
      </c>
      <c r="P20" s="7">
        <v>1500</v>
      </c>
      <c r="Q20" s="7"/>
      <c r="R20" s="7">
        <v>123</v>
      </c>
      <c r="S20" s="7">
        <v>160</v>
      </c>
      <c r="T20" s="7"/>
      <c r="U20" s="7"/>
      <c r="V20" s="8"/>
      <c r="W20" s="9">
        <f t="shared" si="0"/>
        <v>39</v>
      </c>
    </row>
    <row r="21" spans="1:23" ht="18.649999999999999" customHeight="1" x14ac:dyDescent="0.35">
      <c r="A21" s="6">
        <v>46066</v>
      </c>
      <c r="B21" s="7" t="s">
        <v>66</v>
      </c>
      <c r="C21" s="7">
        <v>2</v>
      </c>
      <c r="D21" s="6">
        <v>46062</v>
      </c>
      <c r="E21" s="8" t="s">
        <v>82</v>
      </c>
      <c r="F21" s="7" t="s">
        <v>34</v>
      </c>
      <c r="G21" s="8" t="s">
        <v>70</v>
      </c>
      <c r="H21" s="8" t="s">
        <v>34</v>
      </c>
      <c r="I21" s="7">
        <v>35</v>
      </c>
      <c r="J21" s="7"/>
      <c r="K21" s="7"/>
      <c r="L21" s="8" t="s">
        <v>36</v>
      </c>
      <c r="M21" s="8" t="s">
        <v>71</v>
      </c>
      <c r="N21" s="7" t="s">
        <v>72</v>
      </c>
      <c r="O21" s="7"/>
      <c r="P21" s="7"/>
      <c r="Q21" s="7"/>
      <c r="R21" s="7"/>
      <c r="S21" s="7"/>
      <c r="T21" s="7"/>
      <c r="U21" s="7"/>
      <c r="V21" s="8"/>
      <c r="W21" s="9">
        <f t="shared" si="0"/>
        <v>0</v>
      </c>
    </row>
    <row r="22" spans="1:23" ht="18.649999999999999" customHeight="1" x14ac:dyDescent="0.35">
      <c r="A22" s="6">
        <v>46067</v>
      </c>
      <c r="B22" s="7" t="s">
        <v>73</v>
      </c>
      <c r="C22" s="7">
        <v>2</v>
      </c>
      <c r="D22" s="6">
        <v>46062</v>
      </c>
      <c r="E22" s="8" t="s">
        <v>82</v>
      </c>
      <c r="F22" s="7" t="s">
        <v>39</v>
      </c>
      <c r="G22" s="8" t="s">
        <v>74</v>
      </c>
      <c r="H22" s="8" t="s">
        <v>41</v>
      </c>
      <c r="I22" s="7">
        <v>85</v>
      </c>
      <c r="J22" s="7"/>
      <c r="K22" s="7"/>
      <c r="L22" s="8" t="s">
        <v>42</v>
      </c>
      <c r="M22" s="8" t="s">
        <v>75</v>
      </c>
      <c r="N22" s="7" t="s">
        <v>52</v>
      </c>
      <c r="O22" s="7">
        <v>90</v>
      </c>
      <c r="P22" s="7">
        <v>12.91</v>
      </c>
      <c r="Q22" s="7"/>
      <c r="R22" s="7">
        <v>139</v>
      </c>
      <c r="S22" s="7">
        <v>151</v>
      </c>
      <c r="T22" s="7"/>
      <c r="U22" s="7"/>
      <c r="V22" s="8"/>
      <c r="W22" s="9">
        <f t="shared" si="0"/>
        <v>90</v>
      </c>
    </row>
    <row r="23" spans="1:23" ht="18.649999999999999" customHeight="1" x14ac:dyDescent="0.35">
      <c r="A23" s="6">
        <v>46068</v>
      </c>
      <c r="B23" s="7" t="s">
        <v>77</v>
      </c>
      <c r="C23" s="7">
        <v>2</v>
      </c>
      <c r="D23" s="6">
        <v>46062</v>
      </c>
      <c r="E23" s="8" t="s">
        <v>82</v>
      </c>
      <c r="F23" s="7" t="s">
        <v>53</v>
      </c>
      <c r="G23" s="8" t="s">
        <v>78</v>
      </c>
      <c r="H23" s="8" t="s">
        <v>79</v>
      </c>
      <c r="I23" s="7">
        <v>190</v>
      </c>
      <c r="J23" s="7"/>
      <c r="K23" s="7"/>
      <c r="L23" s="8" t="s">
        <v>80</v>
      </c>
      <c r="M23" s="8" t="s">
        <v>84</v>
      </c>
      <c r="N23" s="7" t="s">
        <v>72</v>
      </c>
      <c r="O23" s="7"/>
      <c r="P23" s="7"/>
      <c r="Q23" s="7"/>
      <c r="R23" s="7"/>
      <c r="S23" s="7"/>
      <c r="T23" s="7"/>
      <c r="U23" s="7"/>
      <c r="V23" s="8"/>
      <c r="W23" s="9">
        <f t="shared" si="0"/>
        <v>0</v>
      </c>
    </row>
    <row r="24" spans="1:23" ht="18.649999999999999" customHeight="1" x14ac:dyDescent="0.35">
      <c r="A24" s="6">
        <v>46069</v>
      </c>
      <c r="B24" s="7" t="s">
        <v>32</v>
      </c>
      <c r="C24" s="7">
        <v>3</v>
      </c>
      <c r="D24" s="6">
        <v>46069</v>
      </c>
      <c r="E24" s="8" t="s">
        <v>85</v>
      </c>
      <c r="F24" s="7" t="s">
        <v>34</v>
      </c>
      <c r="G24" s="8" t="s">
        <v>35</v>
      </c>
      <c r="H24" s="8" t="s">
        <v>34</v>
      </c>
      <c r="I24" s="7">
        <v>45</v>
      </c>
      <c r="J24" s="7"/>
      <c r="K24" s="7"/>
      <c r="L24" s="8" t="s">
        <v>36</v>
      </c>
      <c r="M24" s="8" t="s">
        <v>37</v>
      </c>
      <c r="N24" s="7" t="s">
        <v>52</v>
      </c>
      <c r="O24" s="7">
        <v>52</v>
      </c>
      <c r="P24" s="7"/>
      <c r="Q24" s="7"/>
      <c r="R24" s="7">
        <v>105</v>
      </c>
      <c r="S24" s="7">
        <v>153</v>
      </c>
      <c r="T24" s="7"/>
      <c r="U24" s="7"/>
      <c r="V24" s="8"/>
      <c r="W24" s="9">
        <f t="shared" si="0"/>
        <v>52</v>
      </c>
    </row>
    <row r="25" spans="1:23" ht="18.649999999999999" customHeight="1" x14ac:dyDescent="0.35">
      <c r="A25" s="6">
        <v>46069</v>
      </c>
      <c r="B25" s="7" t="s">
        <v>32</v>
      </c>
      <c r="C25" s="7">
        <v>3</v>
      </c>
      <c r="D25" s="6">
        <v>46069</v>
      </c>
      <c r="E25" s="8" t="s">
        <v>85</v>
      </c>
      <c r="F25" s="7" t="s">
        <v>39</v>
      </c>
      <c r="G25" s="8" t="s">
        <v>40</v>
      </c>
      <c r="H25" s="8" t="s">
        <v>41</v>
      </c>
      <c r="I25" s="7">
        <v>40</v>
      </c>
      <c r="J25" s="7"/>
      <c r="K25" s="7"/>
      <c r="L25" s="8" t="s">
        <v>42</v>
      </c>
      <c r="M25" s="8" t="s">
        <v>43</v>
      </c>
      <c r="N25" s="7" t="s">
        <v>52</v>
      </c>
      <c r="O25" s="7">
        <v>46</v>
      </c>
      <c r="P25" s="7">
        <v>6.95</v>
      </c>
      <c r="Q25" s="7"/>
      <c r="R25" s="7">
        <v>140</v>
      </c>
      <c r="S25" s="7">
        <v>154</v>
      </c>
      <c r="T25" s="7"/>
      <c r="U25" s="7"/>
      <c r="V25" s="8"/>
      <c r="W25" s="9">
        <f t="shared" si="0"/>
        <v>46</v>
      </c>
    </row>
    <row r="26" spans="1:23" ht="18.649999999999999" customHeight="1" x14ac:dyDescent="0.35">
      <c r="A26" s="6">
        <v>46070</v>
      </c>
      <c r="B26" s="7" t="s">
        <v>45</v>
      </c>
      <c r="C26" s="7">
        <v>3</v>
      </c>
      <c r="D26" s="6">
        <v>46069</v>
      </c>
      <c r="E26" s="8" t="s">
        <v>85</v>
      </c>
      <c r="F26" s="7" t="s">
        <v>46</v>
      </c>
      <c r="G26" s="8" t="s">
        <v>47</v>
      </c>
      <c r="H26" s="8" t="s">
        <v>48</v>
      </c>
      <c r="I26" s="7">
        <v>45</v>
      </c>
      <c r="J26" s="7">
        <v>2000</v>
      </c>
      <c r="K26" s="7" t="s">
        <v>49</v>
      </c>
      <c r="L26" s="8" t="s">
        <v>50</v>
      </c>
      <c r="M26" s="8" t="s">
        <v>51</v>
      </c>
      <c r="N26" s="7" t="s">
        <v>72</v>
      </c>
      <c r="O26" s="7"/>
      <c r="P26" s="7"/>
      <c r="Q26" s="7"/>
      <c r="R26" s="7"/>
      <c r="S26" s="7"/>
      <c r="T26" s="7"/>
      <c r="U26" s="7"/>
      <c r="V26" s="8"/>
      <c r="W26" s="9">
        <f t="shared" si="0"/>
        <v>0</v>
      </c>
    </row>
    <row r="27" spans="1:23" ht="18.649999999999999" customHeight="1" x14ac:dyDescent="0.35">
      <c r="A27" s="6">
        <v>46070</v>
      </c>
      <c r="B27" s="7" t="s">
        <v>45</v>
      </c>
      <c r="C27" s="7">
        <v>3</v>
      </c>
      <c r="D27" s="6">
        <v>46069</v>
      </c>
      <c r="E27" s="8" t="s">
        <v>85</v>
      </c>
      <c r="F27" s="7" t="s">
        <v>53</v>
      </c>
      <c r="G27" s="8" t="s">
        <v>54</v>
      </c>
      <c r="H27" s="8" t="s">
        <v>41</v>
      </c>
      <c r="I27" s="7">
        <v>60</v>
      </c>
      <c r="J27" s="7"/>
      <c r="K27" s="7"/>
      <c r="L27" s="8" t="s">
        <v>55</v>
      </c>
      <c r="M27" s="8" t="s">
        <v>56</v>
      </c>
      <c r="N27" s="7" t="s">
        <v>52</v>
      </c>
      <c r="O27" s="7">
        <v>50</v>
      </c>
      <c r="P27" s="7">
        <v>24.19</v>
      </c>
      <c r="Q27" s="7"/>
      <c r="R27" s="7">
        <v>126</v>
      </c>
      <c r="S27" s="7">
        <v>168</v>
      </c>
      <c r="T27" s="7">
        <v>136</v>
      </c>
      <c r="U27" s="7"/>
      <c r="V27" s="8"/>
      <c r="W27" s="9">
        <f t="shared" si="0"/>
        <v>50</v>
      </c>
    </row>
    <row r="28" spans="1:23" ht="18.649999999999999" customHeight="1" x14ac:dyDescent="0.35">
      <c r="A28" s="6">
        <v>46071</v>
      </c>
      <c r="B28" s="7" t="s">
        <v>57</v>
      </c>
      <c r="C28" s="7">
        <v>3</v>
      </c>
      <c r="D28" s="6">
        <v>46069</v>
      </c>
      <c r="E28" s="8" t="s">
        <v>85</v>
      </c>
      <c r="F28" s="7" t="s">
        <v>39</v>
      </c>
      <c r="G28" s="8" t="s">
        <v>86</v>
      </c>
      <c r="H28" s="8" t="s">
        <v>87</v>
      </c>
      <c r="I28" s="7">
        <v>60</v>
      </c>
      <c r="J28" s="7"/>
      <c r="K28" s="7"/>
      <c r="L28" s="8" t="s">
        <v>88</v>
      </c>
      <c r="M28" s="8" t="s">
        <v>89</v>
      </c>
      <c r="N28" s="7" t="s">
        <v>72</v>
      </c>
      <c r="O28" s="7"/>
      <c r="P28" s="7"/>
      <c r="Q28" s="7"/>
      <c r="R28" s="7"/>
      <c r="S28" s="7"/>
      <c r="T28" s="7"/>
      <c r="U28" s="7"/>
      <c r="V28" s="8"/>
      <c r="W28" s="9">
        <f t="shared" si="0"/>
        <v>0</v>
      </c>
    </row>
    <row r="29" spans="1:23" ht="18.649999999999999" customHeight="1" x14ac:dyDescent="0.35">
      <c r="A29" s="6">
        <v>46072</v>
      </c>
      <c r="B29" s="7" t="s">
        <v>62</v>
      </c>
      <c r="C29" s="7">
        <v>3</v>
      </c>
      <c r="D29" s="6">
        <v>46069</v>
      </c>
      <c r="E29" s="8" t="s">
        <v>85</v>
      </c>
      <c r="F29" s="7" t="s">
        <v>53</v>
      </c>
      <c r="G29" s="8" t="s">
        <v>54</v>
      </c>
      <c r="H29" s="8" t="s">
        <v>41</v>
      </c>
      <c r="I29" s="7">
        <v>70</v>
      </c>
      <c r="J29" s="7"/>
      <c r="K29" s="7"/>
      <c r="L29" s="8" t="s">
        <v>55</v>
      </c>
      <c r="M29" s="8" t="s">
        <v>63</v>
      </c>
      <c r="N29" s="7" t="s">
        <v>52</v>
      </c>
      <c r="O29" s="7">
        <v>47</v>
      </c>
      <c r="P29" s="7"/>
      <c r="Q29" s="7"/>
      <c r="R29" s="7">
        <v>136</v>
      </c>
      <c r="S29" s="7">
        <v>158</v>
      </c>
      <c r="T29" s="7"/>
      <c r="U29" s="7"/>
      <c r="V29" s="8"/>
      <c r="W29" s="9">
        <f t="shared" si="0"/>
        <v>47</v>
      </c>
    </row>
    <row r="30" spans="1:23" ht="18.649999999999999" customHeight="1" x14ac:dyDescent="0.35">
      <c r="A30" s="6">
        <v>46072</v>
      </c>
      <c r="B30" s="7" t="s">
        <v>62</v>
      </c>
      <c r="C30" s="7">
        <v>3</v>
      </c>
      <c r="D30" s="6">
        <v>46069</v>
      </c>
      <c r="E30" s="8" t="s">
        <v>85</v>
      </c>
      <c r="F30" s="7" t="s">
        <v>39</v>
      </c>
      <c r="G30" s="8" t="s">
        <v>64</v>
      </c>
      <c r="H30" s="8" t="s">
        <v>41</v>
      </c>
      <c r="I30" s="7">
        <v>20</v>
      </c>
      <c r="J30" s="7"/>
      <c r="K30" s="7"/>
      <c r="L30" s="8" t="s">
        <v>42</v>
      </c>
      <c r="M30" s="8" t="s">
        <v>65</v>
      </c>
      <c r="N30" s="7" t="s">
        <v>52</v>
      </c>
      <c r="O30" s="7">
        <v>24</v>
      </c>
      <c r="P30" s="7">
        <v>4.13</v>
      </c>
      <c r="Q30" s="7"/>
      <c r="R30" s="7">
        <v>164</v>
      </c>
      <c r="S30" s="7">
        <v>172</v>
      </c>
      <c r="T30" s="7"/>
      <c r="U30" s="7"/>
      <c r="V30" s="8"/>
      <c r="W30" s="9">
        <f t="shared" si="0"/>
        <v>24</v>
      </c>
    </row>
    <row r="31" spans="1:23" ht="18.649999999999999" customHeight="1" x14ac:dyDescent="0.35">
      <c r="A31" s="6">
        <v>46073</v>
      </c>
      <c r="B31" s="7" t="s">
        <v>66</v>
      </c>
      <c r="C31" s="7">
        <v>3</v>
      </c>
      <c r="D31" s="6">
        <v>46069</v>
      </c>
      <c r="E31" s="8" t="s">
        <v>85</v>
      </c>
      <c r="F31" s="7" t="s">
        <v>46</v>
      </c>
      <c r="G31" s="8" t="s">
        <v>67</v>
      </c>
      <c r="H31" s="8" t="s">
        <v>68</v>
      </c>
      <c r="I31" s="7">
        <v>45</v>
      </c>
      <c r="J31" s="7">
        <v>1800</v>
      </c>
      <c r="K31" s="7" t="s">
        <v>49</v>
      </c>
      <c r="L31" s="8" t="s">
        <v>42</v>
      </c>
      <c r="M31" s="8" t="s">
        <v>69</v>
      </c>
      <c r="N31" s="7" t="s">
        <v>52</v>
      </c>
      <c r="O31" s="7">
        <v>51</v>
      </c>
      <c r="P31" s="7">
        <v>2500</v>
      </c>
      <c r="Q31" s="7"/>
      <c r="R31" s="7">
        <v>141</v>
      </c>
      <c r="S31" s="7">
        <v>162</v>
      </c>
      <c r="T31" s="7"/>
      <c r="U31" s="7"/>
      <c r="V31" s="8"/>
      <c r="W31" s="9">
        <f t="shared" si="0"/>
        <v>51</v>
      </c>
    </row>
    <row r="32" spans="1:23" ht="18.649999999999999" customHeight="1" x14ac:dyDescent="0.35">
      <c r="A32" s="6">
        <v>46073</v>
      </c>
      <c r="B32" s="7" t="s">
        <v>66</v>
      </c>
      <c r="C32" s="7">
        <v>3</v>
      </c>
      <c r="D32" s="6">
        <v>46069</v>
      </c>
      <c r="E32" s="8" t="s">
        <v>85</v>
      </c>
      <c r="F32" s="7" t="s">
        <v>34</v>
      </c>
      <c r="G32" s="8" t="s">
        <v>70</v>
      </c>
      <c r="H32" s="8" t="s">
        <v>34</v>
      </c>
      <c r="I32" s="7">
        <v>35</v>
      </c>
      <c r="J32" s="7"/>
      <c r="K32" s="7"/>
      <c r="L32" s="8" t="s">
        <v>36</v>
      </c>
      <c r="M32" s="8" t="s">
        <v>71</v>
      </c>
      <c r="N32" s="7" t="s">
        <v>52</v>
      </c>
      <c r="O32" s="7">
        <v>31</v>
      </c>
      <c r="P32" s="7"/>
      <c r="Q32" s="7"/>
      <c r="R32" s="7"/>
      <c r="S32" s="7"/>
      <c r="T32" s="7"/>
      <c r="U32" s="7"/>
      <c r="V32" s="8" t="s">
        <v>90</v>
      </c>
      <c r="W32" s="9">
        <f t="shared" si="0"/>
        <v>31</v>
      </c>
    </row>
    <row r="33" spans="1:23" ht="18.649999999999999" customHeight="1" x14ac:dyDescent="0.35">
      <c r="A33" s="6">
        <v>46074</v>
      </c>
      <c r="B33" s="7" t="s">
        <v>73</v>
      </c>
      <c r="C33" s="7">
        <v>3</v>
      </c>
      <c r="D33" s="6">
        <v>46069</v>
      </c>
      <c r="E33" s="8" t="s">
        <v>85</v>
      </c>
      <c r="F33" s="7" t="s">
        <v>39</v>
      </c>
      <c r="G33" s="8" t="s">
        <v>74</v>
      </c>
      <c r="H33" s="8" t="s">
        <v>41</v>
      </c>
      <c r="I33" s="7">
        <v>90</v>
      </c>
      <c r="J33" s="7"/>
      <c r="K33" s="7"/>
      <c r="L33" s="8" t="s">
        <v>42</v>
      </c>
      <c r="M33" s="8" t="s">
        <v>75</v>
      </c>
      <c r="N33" s="7" t="s">
        <v>52</v>
      </c>
      <c r="O33" s="7">
        <v>90</v>
      </c>
      <c r="P33" s="7">
        <v>12.89</v>
      </c>
      <c r="Q33" s="7"/>
      <c r="R33" s="7">
        <v>145</v>
      </c>
      <c r="S33" s="7">
        <v>160</v>
      </c>
      <c r="T33" s="7"/>
      <c r="U33" s="7"/>
      <c r="V33" s="8"/>
      <c r="W33" s="9">
        <f t="shared" si="0"/>
        <v>90</v>
      </c>
    </row>
    <row r="34" spans="1:23" ht="18.649999999999999" customHeight="1" x14ac:dyDescent="0.35">
      <c r="A34" s="6">
        <v>46075</v>
      </c>
      <c r="B34" s="7" t="s">
        <v>77</v>
      </c>
      <c r="C34" s="7">
        <v>3</v>
      </c>
      <c r="D34" s="6">
        <v>46069</v>
      </c>
      <c r="E34" s="8" t="s">
        <v>85</v>
      </c>
      <c r="F34" s="7" t="s">
        <v>53</v>
      </c>
      <c r="G34" s="8" t="s">
        <v>78</v>
      </c>
      <c r="H34" s="8" t="s">
        <v>79</v>
      </c>
      <c r="I34" s="7">
        <v>200</v>
      </c>
      <c r="J34" s="7"/>
      <c r="K34" s="7"/>
      <c r="L34" s="8" t="s">
        <v>80</v>
      </c>
      <c r="M34" s="8" t="s">
        <v>91</v>
      </c>
      <c r="N34" s="7" t="s">
        <v>52</v>
      </c>
      <c r="O34" s="7">
        <v>180</v>
      </c>
      <c r="P34" s="7">
        <v>85.76</v>
      </c>
      <c r="Q34" s="7"/>
      <c r="R34" s="7">
        <v>150</v>
      </c>
      <c r="S34" s="7">
        <v>172</v>
      </c>
      <c r="T34" s="7">
        <v>131</v>
      </c>
      <c r="U34" s="7"/>
      <c r="V34" s="8"/>
      <c r="W34" s="9">
        <f t="shared" si="0"/>
        <v>180</v>
      </c>
    </row>
    <row r="35" spans="1:23" ht="18.649999999999999" customHeight="1" x14ac:dyDescent="0.35">
      <c r="A35" s="6">
        <v>46076</v>
      </c>
      <c r="B35" s="7" t="s">
        <v>32</v>
      </c>
      <c r="C35" s="7">
        <v>4</v>
      </c>
      <c r="D35" s="6">
        <v>46076</v>
      </c>
      <c r="E35" s="8" t="s">
        <v>92</v>
      </c>
      <c r="F35" s="7" t="s">
        <v>34</v>
      </c>
      <c r="G35" s="8" t="s">
        <v>35</v>
      </c>
      <c r="H35" s="8" t="s">
        <v>34</v>
      </c>
      <c r="I35" s="7">
        <v>45</v>
      </c>
      <c r="J35" s="7"/>
      <c r="K35" s="7"/>
      <c r="L35" s="8" t="s">
        <v>36</v>
      </c>
      <c r="M35" s="8" t="s">
        <v>37</v>
      </c>
      <c r="N35" s="7" t="s">
        <v>52</v>
      </c>
      <c r="O35" s="7">
        <v>51</v>
      </c>
      <c r="P35" s="7"/>
      <c r="Q35" s="7"/>
      <c r="R35" s="7">
        <v>77</v>
      </c>
      <c r="S35" s="7">
        <v>124</v>
      </c>
      <c r="T35" s="7"/>
      <c r="U35" s="7"/>
      <c r="V35" s="8"/>
      <c r="W35" s="9">
        <f t="shared" si="0"/>
        <v>51</v>
      </c>
    </row>
    <row r="36" spans="1:23" ht="18.649999999999999" customHeight="1" x14ac:dyDescent="0.35">
      <c r="A36" s="6">
        <v>46076</v>
      </c>
      <c r="B36" s="7" t="s">
        <v>32</v>
      </c>
      <c r="C36" s="7">
        <v>4</v>
      </c>
      <c r="D36" s="6">
        <v>46076</v>
      </c>
      <c r="E36" s="8" t="s">
        <v>92</v>
      </c>
      <c r="F36" s="7" t="s">
        <v>39</v>
      </c>
      <c r="G36" s="8" t="s">
        <v>40</v>
      </c>
      <c r="H36" s="8" t="s">
        <v>41</v>
      </c>
      <c r="I36" s="7">
        <v>30</v>
      </c>
      <c r="J36" s="7"/>
      <c r="K36" s="7"/>
      <c r="L36" s="8" t="s">
        <v>42</v>
      </c>
      <c r="M36" s="8" t="s">
        <v>43</v>
      </c>
      <c r="N36" s="7" t="s">
        <v>52</v>
      </c>
      <c r="O36" s="7">
        <v>30</v>
      </c>
      <c r="P36" s="7">
        <v>4.3</v>
      </c>
      <c r="Q36" s="7"/>
      <c r="R36" s="7">
        <v>123</v>
      </c>
      <c r="S36" s="7">
        <v>136</v>
      </c>
      <c r="T36" s="7"/>
      <c r="U36" s="7"/>
      <c r="V36" s="8"/>
      <c r="W36" s="9">
        <f t="shared" si="0"/>
        <v>30</v>
      </c>
    </row>
    <row r="37" spans="1:23" ht="18.649999999999999" customHeight="1" x14ac:dyDescent="0.35">
      <c r="A37" s="6">
        <v>46077</v>
      </c>
      <c r="B37" s="7" t="s">
        <v>45</v>
      </c>
      <c r="C37" s="7">
        <v>4</v>
      </c>
      <c r="D37" s="6">
        <v>46076</v>
      </c>
      <c r="E37" s="8" t="s">
        <v>92</v>
      </c>
      <c r="F37" s="7" t="s">
        <v>46</v>
      </c>
      <c r="G37" s="8" t="s">
        <v>93</v>
      </c>
      <c r="H37" s="8" t="s">
        <v>94</v>
      </c>
      <c r="I37" s="7">
        <v>40</v>
      </c>
      <c r="J37" s="7">
        <v>1600</v>
      </c>
      <c r="K37" s="7" t="s">
        <v>49</v>
      </c>
      <c r="L37" s="8" t="s">
        <v>95</v>
      </c>
      <c r="M37" s="8" t="s">
        <v>96</v>
      </c>
      <c r="N37" s="7" t="s">
        <v>52</v>
      </c>
      <c r="O37" s="7">
        <v>46</v>
      </c>
      <c r="P37" s="7">
        <v>1400</v>
      </c>
      <c r="Q37" s="7"/>
      <c r="R37" s="7">
        <v>118</v>
      </c>
      <c r="S37" s="7">
        <v>166</v>
      </c>
      <c r="T37" s="7"/>
      <c r="U37" s="7"/>
      <c r="V37" s="8"/>
      <c r="W37" s="9">
        <f t="shared" si="0"/>
        <v>46</v>
      </c>
    </row>
    <row r="38" spans="1:23" ht="18.649999999999999" customHeight="1" x14ac:dyDescent="0.35">
      <c r="A38" s="6">
        <v>46077</v>
      </c>
      <c r="B38" s="7" t="s">
        <v>45</v>
      </c>
      <c r="C38" s="7">
        <v>4</v>
      </c>
      <c r="D38" s="6">
        <v>46076</v>
      </c>
      <c r="E38" s="8" t="s">
        <v>92</v>
      </c>
      <c r="F38" s="7" t="s">
        <v>53</v>
      </c>
      <c r="G38" s="8" t="s">
        <v>97</v>
      </c>
      <c r="H38" s="8" t="s">
        <v>94</v>
      </c>
      <c r="I38" s="7">
        <v>50</v>
      </c>
      <c r="J38" s="7"/>
      <c r="K38" s="7"/>
      <c r="L38" s="8" t="s">
        <v>95</v>
      </c>
      <c r="M38" s="8" t="s">
        <v>98</v>
      </c>
      <c r="N38" s="7" t="s">
        <v>72</v>
      </c>
      <c r="O38" s="7"/>
      <c r="P38" s="7"/>
      <c r="Q38" s="7"/>
      <c r="R38" s="7"/>
      <c r="S38" s="7"/>
      <c r="T38" s="7"/>
      <c r="U38" s="7"/>
      <c r="V38" s="8"/>
      <c r="W38" s="9">
        <f t="shared" si="0"/>
        <v>0</v>
      </c>
    </row>
    <row r="39" spans="1:23" ht="18.649999999999999" customHeight="1" x14ac:dyDescent="0.35">
      <c r="A39" s="6">
        <v>46078</v>
      </c>
      <c r="B39" s="7" t="s">
        <v>57</v>
      </c>
      <c r="C39" s="7">
        <v>4</v>
      </c>
      <c r="D39" s="6">
        <v>46076</v>
      </c>
      <c r="E39" s="8" t="s">
        <v>92</v>
      </c>
      <c r="F39" s="7" t="s">
        <v>39</v>
      </c>
      <c r="G39" s="8" t="s">
        <v>99</v>
      </c>
      <c r="H39" s="8" t="s">
        <v>94</v>
      </c>
      <c r="I39" s="7">
        <v>35</v>
      </c>
      <c r="J39" s="7"/>
      <c r="K39" s="7"/>
      <c r="L39" s="8" t="s">
        <v>95</v>
      </c>
      <c r="M39" s="8" t="s">
        <v>100</v>
      </c>
      <c r="N39" s="7" t="s">
        <v>72</v>
      </c>
      <c r="O39" s="7"/>
      <c r="P39" s="7"/>
      <c r="Q39" s="7"/>
      <c r="R39" s="7"/>
      <c r="S39" s="7"/>
      <c r="T39" s="7"/>
      <c r="U39" s="7"/>
      <c r="V39" s="8"/>
      <c r="W39" s="9">
        <f t="shared" si="0"/>
        <v>0</v>
      </c>
    </row>
    <row r="40" spans="1:23" ht="18.649999999999999" customHeight="1" x14ac:dyDescent="0.35">
      <c r="A40" s="6">
        <v>46079</v>
      </c>
      <c r="B40" s="7" t="s">
        <v>62</v>
      </c>
      <c r="C40" s="7">
        <v>4</v>
      </c>
      <c r="D40" s="6">
        <v>46076</v>
      </c>
      <c r="E40" s="8" t="s">
        <v>92</v>
      </c>
      <c r="F40" s="7" t="s">
        <v>53</v>
      </c>
      <c r="G40" s="8" t="s">
        <v>54</v>
      </c>
      <c r="H40" s="8" t="s">
        <v>94</v>
      </c>
      <c r="I40" s="7">
        <v>55</v>
      </c>
      <c r="J40" s="7"/>
      <c r="K40" s="7"/>
      <c r="L40" s="8" t="s">
        <v>42</v>
      </c>
      <c r="M40" s="8" t="s">
        <v>101</v>
      </c>
      <c r="N40" s="7" t="s">
        <v>52</v>
      </c>
      <c r="O40" s="7">
        <v>50</v>
      </c>
      <c r="P40" s="7">
        <v>20.46</v>
      </c>
      <c r="Q40" s="7"/>
      <c r="R40" s="7">
        <v>112</v>
      </c>
      <c r="S40" s="7">
        <v>140</v>
      </c>
      <c r="T40" s="7">
        <v>112</v>
      </c>
      <c r="U40" s="7"/>
      <c r="V40" s="8"/>
      <c r="W40" s="9">
        <f t="shared" si="0"/>
        <v>50</v>
      </c>
    </row>
    <row r="41" spans="1:23" ht="18.649999999999999" customHeight="1" x14ac:dyDescent="0.35">
      <c r="A41" s="6">
        <v>46079</v>
      </c>
      <c r="B41" s="7" t="s">
        <v>62</v>
      </c>
      <c r="C41" s="7">
        <v>4</v>
      </c>
      <c r="D41" s="6">
        <v>46076</v>
      </c>
      <c r="E41" s="8" t="s">
        <v>92</v>
      </c>
      <c r="F41" s="7" t="s">
        <v>39</v>
      </c>
      <c r="G41" s="8" t="s">
        <v>102</v>
      </c>
      <c r="H41" s="8" t="s">
        <v>94</v>
      </c>
      <c r="I41" s="7">
        <v>15</v>
      </c>
      <c r="J41" s="7"/>
      <c r="K41" s="7"/>
      <c r="L41" s="8" t="s">
        <v>95</v>
      </c>
      <c r="M41" s="8" t="s">
        <v>103</v>
      </c>
      <c r="N41" s="7" t="s">
        <v>52</v>
      </c>
      <c r="O41" s="7">
        <v>19</v>
      </c>
      <c r="P41" s="7">
        <v>2.84</v>
      </c>
      <c r="Q41" s="7"/>
      <c r="R41" s="7">
        <v>138</v>
      </c>
      <c r="S41" s="7">
        <v>149</v>
      </c>
      <c r="T41" s="7"/>
      <c r="U41" s="7"/>
      <c r="V41" s="8"/>
      <c r="W41" s="9">
        <f t="shared" si="0"/>
        <v>19</v>
      </c>
    </row>
    <row r="42" spans="1:23" ht="18.649999999999999" customHeight="1" x14ac:dyDescent="0.35">
      <c r="A42" s="6">
        <v>46080</v>
      </c>
      <c r="B42" s="7" t="s">
        <v>66</v>
      </c>
      <c r="C42" s="7">
        <v>4</v>
      </c>
      <c r="D42" s="6">
        <v>46076</v>
      </c>
      <c r="E42" s="8" t="s">
        <v>92</v>
      </c>
      <c r="F42" s="7" t="s">
        <v>46</v>
      </c>
      <c r="G42" s="8" t="s">
        <v>104</v>
      </c>
      <c r="H42" s="8" t="s">
        <v>94</v>
      </c>
      <c r="I42" s="7">
        <v>40</v>
      </c>
      <c r="J42" s="7">
        <v>1500</v>
      </c>
      <c r="K42" s="7" t="s">
        <v>49</v>
      </c>
      <c r="L42" s="8" t="s">
        <v>95</v>
      </c>
      <c r="M42" s="8" t="s">
        <v>105</v>
      </c>
      <c r="N42" s="7" t="s">
        <v>52</v>
      </c>
      <c r="O42" s="7">
        <v>54</v>
      </c>
      <c r="P42" s="7">
        <v>2500</v>
      </c>
      <c r="Q42" s="7"/>
      <c r="R42" s="7">
        <v>141</v>
      </c>
      <c r="S42" s="7">
        <v>153</v>
      </c>
      <c r="T42" s="7"/>
      <c r="U42" s="7"/>
      <c r="V42" s="8"/>
      <c r="W42" s="9">
        <f t="shared" si="0"/>
        <v>54</v>
      </c>
    </row>
    <row r="43" spans="1:23" ht="18.649999999999999" customHeight="1" x14ac:dyDescent="0.35">
      <c r="A43" s="6">
        <v>46080</v>
      </c>
      <c r="B43" s="7" t="s">
        <v>66</v>
      </c>
      <c r="C43" s="7">
        <v>4</v>
      </c>
      <c r="D43" s="6">
        <v>46076</v>
      </c>
      <c r="E43" s="8" t="s">
        <v>92</v>
      </c>
      <c r="F43" s="7" t="s">
        <v>34</v>
      </c>
      <c r="G43" s="8" t="s">
        <v>70</v>
      </c>
      <c r="H43" s="8" t="s">
        <v>34</v>
      </c>
      <c r="I43" s="7">
        <v>35</v>
      </c>
      <c r="J43" s="7"/>
      <c r="K43" s="7"/>
      <c r="L43" s="8" t="s">
        <v>36</v>
      </c>
      <c r="M43" s="8" t="s">
        <v>71</v>
      </c>
      <c r="N43" s="7" t="s">
        <v>52</v>
      </c>
      <c r="O43" s="7">
        <v>21</v>
      </c>
      <c r="P43" s="7"/>
      <c r="Q43" s="7"/>
      <c r="R43" s="7">
        <v>59</v>
      </c>
      <c r="S43" s="7"/>
      <c r="T43" s="7"/>
      <c r="U43" s="7"/>
      <c r="V43" s="8" t="s">
        <v>90</v>
      </c>
      <c r="W43" s="9">
        <f t="shared" si="0"/>
        <v>21</v>
      </c>
    </row>
    <row r="44" spans="1:23" ht="18.649999999999999" customHeight="1" x14ac:dyDescent="0.35">
      <c r="A44" s="6">
        <v>46081</v>
      </c>
      <c r="B44" s="7" t="s">
        <v>73</v>
      </c>
      <c r="C44" s="7">
        <v>4</v>
      </c>
      <c r="D44" s="6">
        <v>46076</v>
      </c>
      <c r="E44" s="8" t="s">
        <v>92</v>
      </c>
      <c r="F44" s="7" t="s">
        <v>39</v>
      </c>
      <c r="G44" s="8" t="s">
        <v>74</v>
      </c>
      <c r="H44" s="8" t="s">
        <v>94</v>
      </c>
      <c r="I44" s="7">
        <v>70</v>
      </c>
      <c r="J44" s="7"/>
      <c r="K44" s="7"/>
      <c r="L44" s="8" t="s">
        <v>42</v>
      </c>
      <c r="M44" s="8" t="s">
        <v>106</v>
      </c>
      <c r="N44" s="7" t="s">
        <v>52</v>
      </c>
      <c r="O44" s="7">
        <v>55</v>
      </c>
      <c r="P44" s="7">
        <v>7.84</v>
      </c>
      <c r="Q44" s="7"/>
      <c r="R44" s="7">
        <v>144</v>
      </c>
      <c r="S44" s="7">
        <v>155</v>
      </c>
      <c r="T44" s="7"/>
      <c r="U44" s="7"/>
      <c r="V44" s="8" t="s">
        <v>107</v>
      </c>
      <c r="W44" s="9">
        <f t="shared" si="0"/>
        <v>55</v>
      </c>
    </row>
    <row r="45" spans="1:23" ht="18.649999999999999" customHeight="1" x14ac:dyDescent="0.35">
      <c r="A45" s="6">
        <v>46082</v>
      </c>
      <c r="B45" s="7" t="s">
        <v>77</v>
      </c>
      <c r="C45" s="7">
        <v>4</v>
      </c>
      <c r="D45" s="6">
        <v>46076</v>
      </c>
      <c r="E45" s="8" t="s">
        <v>92</v>
      </c>
      <c r="F45" s="7" t="s">
        <v>53</v>
      </c>
      <c r="G45" s="8" t="s">
        <v>108</v>
      </c>
      <c r="H45" s="8" t="s">
        <v>94</v>
      </c>
      <c r="I45" s="7">
        <v>150</v>
      </c>
      <c r="J45" s="7"/>
      <c r="K45" s="7"/>
      <c r="L45" s="8" t="s">
        <v>42</v>
      </c>
      <c r="M45" s="8" t="s">
        <v>109</v>
      </c>
      <c r="N45" s="7" t="s">
        <v>52</v>
      </c>
      <c r="O45" s="7">
        <v>97</v>
      </c>
      <c r="P45" s="7">
        <v>28.06</v>
      </c>
      <c r="Q45" s="7"/>
      <c r="R45" s="7">
        <v>141</v>
      </c>
      <c r="S45" s="7">
        <v>183</v>
      </c>
      <c r="T45" s="7"/>
      <c r="U45" s="7"/>
      <c r="V45" s="8" t="s">
        <v>110</v>
      </c>
      <c r="W45" s="9">
        <f t="shared" si="0"/>
        <v>97</v>
      </c>
    </row>
    <row r="46" spans="1:23" ht="18.649999999999999" customHeight="1" x14ac:dyDescent="0.35">
      <c r="A46" s="6">
        <v>46083</v>
      </c>
      <c r="B46" s="7" t="s">
        <v>32</v>
      </c>
      <c r="C46" s="7">
        <v>5</v>
      </c>
      <c r="D46" s="6">
        <v>46083</v>
      </c>
      <c r="E46" s="8" t="s">
        <v>111</v>
      </c>
      <c r="F46" s="7" t="s">
        <v>34</v>
      </c>
      <c r="G46" s="8" t="s">
        <v>35</v>
      </c>
      <c r="H46" s="8" t="s">
        <v>34</v>
      </c>
      <c r="I46" s="7">
        <v>45</v>
      </c>
      <c r="J46" s="7"/>
      <c r="K46" s="7"/>
      <c r="L46" s="8" t="s">
        <v>36</v>
      </c>
      <c r="M46" s="8" t="s">
        <v>37</v>
      </c>
      <c r="N46" s="7" t="s">
        <v>72</v>
      </c>
      <c r="O46" s="7"/>
      <c r="P46" s="7"/>
      <c r="Q46" s="7"/>
      <c r="R46" s="7"/>
      <c r="S46" s="7"/>
      <c r="T46" s="7"/>
      <c r="U46" s="7"/>
      <c r="V46" s="8"/>
      <c r="W46" s="9">
        <f t="shared" si="0"/>
        <v>0</v>
      </c>
    </row>
    <row r="47" spans="1:23" ht="18.649999999999999" customHeight="1" x14ac:dyDescent="0.35">
      <c r="A47" s="6">
        <v>46083</v>
      </c>
      <c r="B47" s="7" t="s">
        <v>32</v>
      </c>
      <c r="C47" s="7">
        <v>5</v>
      </c>
      <c r="D47" s="6">
        <v>46083</v>
      </c>
      <c r="E47" s="8" t="s">
        <v>111</v>
      </c>
      <c r="F47" s="7" t="s">
        <v>39</v>
      </c>
      <c r="G47" s="8" t="s">
        <v>40</v>
      </c>
      <c r="H47" s="8" t="s">
        <v>41</v>
      </c>
      <c r="I47" s="7">
        <v>40</v>
      </c>
      <c r="J47" s="7"/>
      <c r="K47" s="7"/>
      <c r="L47" s="8" t="s">
        <v>42</v>
      </c>
      <c r="M47" s="8" t="s">
        <v>43</v>
      </c>
      <c r="N47" s="7" t="s">
        <v>72</v>
      </c>
      <c r="O47" s="7"/>
      <c r="P47" s="7"/>
      <c r="Q47" s="7"/>
      <c r="R47" s="7"/>
      <c r="S47" s="7"/>
      <c r="T47" s="7"/>
      <c r="U47" s="7"/>
      <c r="V47" s="8"/>
      <c r="W47" s="9">
        <f t="shared" si="0"/>
        <v>0</v>
      </c>
    </row>
    <row r="48" spans="1:23" ht="18.649999999999999" customHeight="1" x14ac:dyDescent="0.35">
      <c r="A48" s="6">
        <v>46084</v>
      </c>
      <c r="B48" s="7" t="s">
        <v>45</v>
      </c>
      <c r="C48" s="7">
        <v>5</v>
      </c>
      <c r="D48" s="6">
        <v>46083</v>
      </c>
      <c r="E48" s="8" t="s">
        <v>111</v>
      </c>
      <c r="F48" s="7" t="s">
        <v>46</v>
      </c>
      <c r="G48" s="8" t="s">
        <v>47</v>
      </c>
      <c r="H48" s="8" t="s">
        <v>48</v>
      </c>
      <c r="I48" s="7">
        <v>45</v>
      </c>
      <c r="J48" s="7">
        <v>2000</v>
      </c>
      <c r="K48" s="7" t="s">
        <v>49</v>
      </c>
      <c r="L48" s="8" t="s">
        <v>50</v>
      </c>
      <c r="M48" s="8" t="s">
        <v>51</v>
      </c>
      <c r="N48" s="7" t="s">
        <v>72</v>
      </c>
      <c r="O48" s="7"/>
      <c r="P48" s="7"/>
      <c r="Q48" s="7"/>
      <c r="R48" s="7"/>
      <c r="S48" s="7"/>
      <c r="T48" s="7"/>
      <c r="U48" s="7"/>
      <c r="V48" s="8"/>
      <c r="W48" s="9">
        <f t="shared" si="0"/>
        <v>0</v>
      </c>
    </row>
    <row r="49" spans="1:23" ht="18.649999999999999" customHeight="1" x14ac:dyDescent="0.35">
      <c r="A49" s="6">
        <v>46084</v>
      </c>
      <c r="B49" s="7" t="s">
        <v>45</v>
      </c>
      <c r="C49" s="7">
        <v>5</v>
      </c>
      <c r="D49" s="6">
        <v>46083</v>
      </c>
      <c r="E49" s="8" t="s">
        <v>111</v>
      </c>
      <c r="F49" s="7" t="s">
        <v>53</v>
      </c>
      <c r="G49" s="8" t="s">
        <v>54</v>
      </c>
      <c r="H49" s="8" t="s">
        <v>41</v>
      </c>
      <c r="I49" s="7">
        <v>60</v>
      </c>
      <c r="J49" s="7"/>
      <c r="K49" s="7"/>
      <c r="L49" s="8" t="s">
        <v>55</v>
      </c>
      <c r="M49" s="8" t="s">
        <v>56</v>
      </c>
      <c r="N49" s="7" t="s">
        <v>38</v>
      </c>
      <c r="O49" s="7">
        <v>51</v>
      </c>
      <c r="P49" s="7">
        <v>23.28</v>
      </c>
      <c r="Q49" s="7"/>
      <c r="R49" s="7"/>
      <c r="S49" s="7"/>
      <c r="T49" s="7"/>
      <c r="U49" s="7"/>
      <c r="V49" s="8" t="s">
        <v>359</v>
      </c>
      <c r="W49" s="9">
        <f t="shared" si="0"/>
        <v>51</v>
      </c>
    </row>
    <row r="50" spans="1:23" ht="18.649999999999999" customHeight="1" x14ac:dyDescent="0.35">
      <c r="A50" s="6">
        <v>46085</v>
      </c>
      <c r="B50" s="7" t="s">
        <v>57</v>
      </c>
      <c r="C50" s="7">
        <v>5</v>
      </c>
      <c r="D50" s="6">
        <v>46083</v>
      </c>
      <c r="E50" s="8" t="s">
        <v>111</v>
      </c>
      <c r="F50" s="7" t="s">
        <v>39</v>
      </c>
      <c r="G50" s="8" t="s">
        <v>112</v>
      </c>
      <c r="H50" s="8" t="s">
        <v>87</v>
      </c>
      <c r="I50" s="7">
        <v>65</v>
      </c>
      <c r="J50" s="7"/>
      <c r="K50" s="7"/>
      <c r="L50" s="8" t="s">
        <v>113</v>
      </c>
      <c r="M50" s="8" t="s">
        <v>114</v>
      </c>
      <c r="N50" s="7" t="s">
        <v>72</v>
      </c>
      <c r="O50" s="7"/>
      <c r="P50" s="7"/>
      <c r="Q50" s="7"/>
      <c r="R50" s="7"/>
      <c r="S50" s="7"/>
      <c r="T50" s="7"/>
      <c r="U50" s="7"/>
      <c r="V50" s="8"/>
      <c r="W50" s="9">
        <f t="shared" si="0"/>
        <v>0</v>
      </c>
    </row>
    <row r="51" spans="1:23" ht="18.649999999999999" customHeight="1" x14ac:dyDescent="0.35">
      <c r="A51" s="6">
        <v>46086</v>
      </c>
      <c r="B51" s="7" t="s">
        <v>62</v>
      </c>
      <c r="C51" s="7">
        <v>5</v>
      </c>
      <c r="D51" s="6">
        <v>46083</v>
      </c>
      <c r="E51" s="8" t="s">
        <v>111</v>
      </c>
      <c r="F51" s="7" t="s">
        <v>53</v>
      </c>
      <c r="G51" s="8" t="s">
        <v>115</v>
      </c>
      <c r="H51" s="8" t="s">
        <v>116</v>
      </c>
      <c r="I51" s="7">
        <v>75</v>
      </c>
      <c r="J51" s="7"/>
      <c r="K51" s="7"/>
      <c r="L51" s="8" t="s">
        <v>117</v>
      </c>
      <c r="M51" s="8" t="s">
        <v>118</v>
      </c>
      <c r="N51" s="7" t="s">
        <v>38</v>
      </c>
      <c r="O51" s="7">
        <v>72</v>
      </c>
      <c r="P51" s="7">
        <v>30.12</v>
      </c>
      <c r="Q51" s="7"/>
      <c r="R51" s="7"/>
      <c r="S51" s="7"/>
      <c r="T51" s="7"/>
      <c r="U51" s="7"/>
      <c r="V51" s="8" t="s">
        <v>360</v>
      </c>
      <c r="W51" s="9">
        <f t="shared" si="0"/>
        <v>72</v>
      </c>
    </row>
    <row r="52" spans="1:23" ht="18.649999999999999" customHeight="1" x14ac:dyDescent="0.35">
      <c r="A52" s="6">
        <v>46086</v>
      </c>
      <c r="B52" s="7" t="s">
        <v>62</v>
      </c>
      <c r="C52" s="7">
        <v>5</v>
      </c>
      <c r="D52" s="6">
        <v>46083</v>
      </c>
      <c r="E52" s="8" t="s">
        <v>111</v>
      </c>
      <c r="F52" s="7" t="s">
        <v>39</v>
      </c>
      <c r="G52" s="8" t="s">
        <v>64</v>
      </c>
      <c r="H52" s="8" t="s">
        <v>41</v>
      </c>
      <c r="I52" s="7">
        <v>20</v>
      </c>
      <c r="J52" s="7"/>
      <c r="K52" s="7"/>
      <c r="L52" s="8" t="s">
        <v>42</v>
      </c>
      <c r="M52" s="8" t="s">
        <v>65</v>
      </c>
      <c r="N52" s="7" t="s">
        <v>38</v>
      </c>
      <c r="O52" s="7">
        <v>20</v>
      </c>
      <c r="P52" s="7">
        <v>3.45</v>
      </c>
      <c r="Q52" s="7"/>
      <c r="R52" s="7"/>
      <c r="S52" s="7"/>
      <c r="T52" s="7"/>
      <c r="U52" s="7"/>
      <c r="V52" s="8" t="s">
        <v>361</v>
      </c>
      <c r="W52" s="9">
        <f t="shared" si="0"/>
        <v>20</v>
      </c>
    </row>
    <row r="53" spans="1:23" ht="18.649999999999999" customHeight="1" x14ac:dyDescent="0.35">
      <c r="A53" s="6">
        <v>46087</v>
      </c>
      <c r="B53" s="7" t="s">
        <v>66</v>
      </c>
      <c r="C53" s="7">
        <v>5</v>
      </c>
      <c r="D53" s="6">
        <v>46083</v>
      </c>
      <c r="E53" s="8" t="s">
        <v>111</v>
      </c>
      <c r="F53" s="7" t="s">
        <v>46</v>
      </c>
      <c r="G53" s="8" t="s">
        <v>67</v>
      </c>
      <c r="H53" s="8" t="s">
        <v>68</v>
      </c>
      <c r="I53" s="7">
        <v>45</v>
      </c>
      <c r="J53" s="7">
        <v>1800</v>
      </c>
      <c r="K53" s="7" t="s">
        <v>49</v>
      </c>
      <c r="L53" s="8" t="s">
        <v>42</v>
      </c>
      <c r="M53" s="8" t="s">
        <v>69</v>
      </c>
      <c r="N53" s="7" t="s">
        <v>38</v>
      </c>
      <c r="O53" s="7">
        <v>48</v>
      </c>
      <c r="P53" s="7">
        <v>1025</v>
      </c>
      <c r="Q53" s="7"/>
      <c r="R53" s="7"/>
      <c r="S53" s="7"/>
      <c r="T53" s="7"/>
      <c r="U53" s="7"/>
      <c r="V53" s="8" t="s">
        <v>362</v>
      </c>
      <c r="W53" s="9">
        <f t="shared" si="0"/>
        <v>48</v>
      </c>
    </row>
    <row r="54" spans="1:23" ht="18.649999999999999" customHeight="1" x14ac:dyDescent="0.35">
      <c r="A54" s="6">
        <v>46087</v>
      </c>
      <c r="B54" s="7" t="s">
        <v>66</v>
      </c>
      <c r="C54" s="7">
        <v>5</v>
      </c>
      <c r="D54" s="6">
        <v>46083</v>
      </c>
      <c r="E54" s="8" t="s">
        <v>111</v>
      </c>
      <c r="F54" s="7" t="s">
        <v>34</v>
      </c>
      <c r="G54" s="8" t="s">
        <v>70</v>
      </c>
      <c r="H54" s="8" t="s">
        <v>34</v>
      </c>
      <c r="I54" s="7">
        <v>35</v>
      </c>
      <c r="J54" s="7"/>
      <c r="K54" s="7"/>
      <c r="L54" s="8" t="s">
        <v>36</v>
      </c>
      <c r="M54" s="8" t="s">
        <v>71</v>
      </c>
      <c r="N54" s="7" t="s">
        <v>72</v>
      </c>
      <c r="O54" s="7"/>
      <c r="P54" s="7"/>
      <c r="Q54" s="7"/>
      <c r="R54" s="7"/>
      <c r="S54" s="7"/>
      <c r="T54" s="7"/>
      <c r="U54" s="7"/>
      <c r="V54" s="8"/>
      <c r="W54" s="9">
        <f t="shared" si="0"/>
        <v>0</v>
      </c>
    </row>
    <row r="55" spans="1:23" ht="18.649999999999999" customHeight="1" x14ac:dyDescent="0.35">
      <c r="A55" s="6">
        <v>46088</v>
      </c>
      <c r="B55" s="7" t="s">
        <v>73</v>
      </c>
      <c r="C55" s="7">
        <v>5</v>
      </c>
      <c r="D55" s="6">
        <v>46083</v>
      </c>
      <c r="E55" s="8" t="s">
        <v>111</v>
      </c>
      <c r="F55" s="7" t="s">
        <v>39</v>
      </c>
      <c r="G55" s="8" t="s">
        <v>74</v>
      </c>
      <c r="H55" s="8" t="s">
        <v>41</v>
      </c>
      <c r="I55" s="7">
        <v>95</v>
      </c>
      <c r="J55" s="7"/>
      <c r="K55" s="7"/>
      <c r="L55" s="8" t="s">
        <v>42</v>
      </c>
      <c r="M55" s="8" t="s">
        <v>75</v>
      </c>
      <c r="N55" s="7" t="s">
        <v>38</v>
      </c>
      <c r="O55" s="7">
        <v>90</v>
      </c>
      <c r="P55" s="7">
        <v>12.81</v>
      </c>
      <c r="Q55" s="7"/>
      <c r="R55" s="7"/>
      <c r="S55" s="7"/>
      <c r="T55" s="7"/>
      <c r="U55" s="7"/>
      <c r="V55" s="8" t="s">
        <v>363</v>
      </c>
      <c r="W55" s="9">
        <f t="shared" si="0"/>
        <v>90</v>
      </c>
    </row>
    <row r="56" spans="1:23" ht="18.649999999999999" customHeight="1" x14ac:dyDescent="0.35">
      <c r="A56" s="6">
        <v>46089</v>
      </c>
      <c r="B56" s="7" t="s">
        <v>77</v>
      </c>
      <c r="C56" s="7">
        <v>5</v>
      </c>
      <c r="D56" s="6">
        <v>46083</v>
      </c>
      <c r="E56" s="8" t="s">
        <v>111</v>
      </c>
      <c r="F56" s="7" t="s">
        <v>53</v>
      </c>
      <c r="G56" s="8" t="s">
        <v>119</v>
      </c>
      <c r="H56" s="8" t="s">
        <v>87</v>
      </c>
      <c r="I56" s="7">
        <v>210</v>
      </c>
      <c r="J56" s="7"/>
      <c r="K56" s="7"/>
      <c r="L56" s="8" t="s">
        <v>120</v>
      </c>
      <c r="M56" s="8" t="s">
        <v>121</v>
      </c>
      <c r="N56" s="7" t="s">
        <v>72</v>
      </c>
      <c r="O56" s="7"/>
      <c r="P56" s="7"/>
      <c r="Q56" s="7"/>
      <c r="R56" s="7"/>
      <c r="S56" s="7"/>
      <c r="T56" s="7"/>
      <c r="U56" s="7"/>
      <c r="V56" s="8"/>
      <c r="W56" s="9">
        <f t="shared" si="0"/>
        <v>0</v>
      </c>
    </row>
    <row r="57" spans="1:23" ht="18.649999999999999" customHeight="1" x14ac:dyDescent="0.35">
      <c r="A57" s="6">
        <v>46090</v>
      </c>
      <c r="B57" s="7" t="s">
        <v>32</v>
      </c>
      <c r="C57" s="7">
        <v>6</v>
      </c>
      <c r="D57" s="6">
        <v>46090</v>
      </c>
      <c r="E57" s="8" t="s">
        <v>111</v>
      </c>
      <c r="F57" s="7" t="s">
        <v>34</v>
      </c>
      <c r="G57" s="8" t="s">
        <v>35</v>
      </c>
      <c r="H57" s="8" t="s">
        <v>34</v>
      </c>
      <c r="I57" s="7">
        <v>45</v>
      </c>
      <c r="J57" s="7"/>
      <c r="K57" s="7"/>
      <c r="L57" s="8" t="s">
        <v>36</v>
      </c>
      <c r="M57" s="8" t="s">
        <v>37</v>
      </c>
      <c r="N57" s="7" t="s">
        <v>38</v>
      </c>
      <c r="O57" s="7">
        <v>32</v>
      </c>
      <c r="P57" s="7"/>
      <c r="Q57" s="7"/>
      <c r="R57" s="7"/>
      <c r="S57" s="7"/>
      <c r="T57" s="7"/>
      <c r="U57" s="7"/>
      <c r="V57" s="8" t="s">
        <v>364</v>
      </c>
      <c r="W57" s="9">
        <f t="shared" si="0"/>
        <v>32</v>
      </c>
    </row>
    <row r="58" spans="1:23" ht="18.649999999999999" customHeight="1" x14ac:dyDescent="0.35">
      <c r="A58" s="6">
        <v>46090</v>
      </c>
      <c r="B58" s="7" t="s">
        <v>32</v>
      </c>
      <c r="C58" s="7">
        <v>6</v>
      </c>
      <c r="D58" s="6">
        <v>46090</v>
      </c>
      <c r="E58" s="8" t="s">
        <v>111</v>
      </c>
      <c r="F58" s="7" t="s">
        <v>39</v>
      </c>
      <c r="G58" s="8" t="s">
        <v>40</v>
      </c>
      <c r="H58" s="8" t="s">
        <v>41</v>
      </c>
      <c r="I58" s="7">
        <v>40</v>
      </c>
      <c r="J58" s="7"/>
      <c r="K58" s="7"/>
      <c r="L58" s="8" t="s">
        <v>42</v>
      </c>
      <c r="M58" s="8" t="s">
        <v>43</v>
      </c>
      <c r="N58" s="7" t="s">
        <v>38</v>
      </c>
      <c r="O58" s="7">
        <v>40</v>
      </c>
      <c r="P58" s="7">
        <v>5.56</v>
      </c>
      <c r="Q58" s="7"/>
      <c r="R58" s="7"/>
      <c r="S58" s="7"/>
      <c r="T58" s="7"/>
      <c r="U58" s="7"/>
      <c r="V58" s="8" t="s">
        <v>365</v>
      </c>
      <c r="W58" s="9">
        <f t="shared" si="0"/>
        <v>40</v>
      </c>
    </row>
    <row r="59" spans="1:23" ht="18.649999999999999" customHeight="1" x14ac:dyDescent="0.35">
      <c r="A59" s="6">
        <v>46091</v>
      </c>
      <c r="B59" s="7" t="s">
        <v>45</v>
      </c>
      <c r="C59" s="7">
        <v>6</v>
      </c>
      <c r="D59" s="6">
        <v>46090</v>
      </c>
      <c r="E59" s="8" t="s">
        <v>111</v>
      </c>
      <c r="F59" s="7" t="s">
        <v>46</v>
      </c>
      <c r="G59" s="8" t="s">
        <v>47</v>
      </c>
      <c r="H59" s="8" t="s">
        <v>48</v>
      </c>
      <c r="I59" s="7">
        <v>45</v>
      </c>
      <c r="J59" s="7">
        <v>2000</v>
      </c>
      <c r="K59" s="7" t="s">
        <v>49</v>
      </c>
      <c r="L59" s="8" t="s">
        <v>50</v>
      </c>
      <c r="M59" s="8" t="s">
        <v>51</v>
      </c>
      <c r="N59" s="7" t="s">
        <v>72</v>
      </c>
      <c r="O59" s="7"/>
      <c r="P59" s="7"/>
      <c r="Q59" s="7"/>
      <c r="R59" s="7"/>
      <c r="S59" s="7"/>
      <c r="T59" s="7"/>
      <c r="U59" s="7"/>
      <c r="V59" s="8"/>
      <c r="W59" s="9">
        <f t="shared" si="0"/>
        <v>0</v>
      </c>
    </row>
    <row r="60" spans="1:23" ht="18.649999999999999" customHeight="1" x14ac:dyDescent="0.35">
      <c r="A60" s="6">
        <v>46091</v>
      </c>
      <c r="B60" s="7" t="s">
        <v>45</v>
      </c>
      <c r="C60" s="7">
        <v>6</v>
      </c>
      <c r="D60" s="6">
        <v>46090</v>
      </c>
      <c r="E60" s="8" t="s">
        <v>111</v>
      </c>
      <c r="F60" s="7" t="s">
        <v>53</v>
      </c>
      <c r="G60" s="8" t="s">
        <v>54</v>
      </c>
      <c r="H60" s="8" t="s">
        <v>41</v>
      </c>
      <c r="I60" s="7">
        <v>60</v>
      </c>
      <c r="J60" s="7"/>
      <c r="K60" s="7"/>
      <c r="L60" s="8" t="s">
        <v>55</v>
      </c>
      <c r="M60" s="8" t="s">
        <v>56</v>
      </c>
      <c r="N60" s="7" t="s">
        <v>38</v>
      </c>
      <c r="O60" s="7">
        <v>30</v>
      </c>
      <c r="P60" s="7">
        <v>13.91</v>
      </c>
      <c r="Q60" s="7"/>
      <c r="R60" s="7"/>
      <c r="S60" s="7"/>
      <c r="T60" s="7"/>
      <c r="U60" s="7"/>
      <c r="V60" s="8" t="s">
        <v>366</v>
      </c>
      <c r="W60" s="9">
        <f t="shared" si="0"/>
        <v>30</v>
      </c>
    </row>
    <row r="61" spans="1:23" ht="18.649999999999999" customHeight="1" x14ac:dyDescent="0.35">
      <c r="A61" s="6">
        <v>46092</v>
      </c>
      <c r="B61" s="7" t="s">
        <v>57</v>
      </c>
      <c r="C61" s="7">
        <v>6</v>
      </c>
      <c r="D61" s="6">
        <v>46090</v>
      </c>
      <c r="E61" s="8" t="s">
        <v>111</v>
      </c>
      <c r="F61" s="7" t="s">
        <v>39</v>
      </c>
      <c r="G61" s="8" t="s">
        <v>122</v>
      </c>
      <c r="H61" s="8" t="s">
        <v>87</v>
      </c>
      <c r="I61" s="7">
        <v>70</v>
      </c>
      <c r="J61" s="7"/>
      <c r="K61" s="7"/>
      <c r="L61" s="8" t="s">
        <v>113</v>
      </c>
      <c r="M61" s="8" t="s">
        <v>123</v>
      </c>
      <c r="N61" s="7" t="s">
        <v>38</v>
      </c>
      <c r="O61" s="7">
        <v>43</v>
      </c>
      <c r="P61" s="7">
        <v>6.38</v>
      </c>
      <c r="Q61" s="7"/>
      <c r="R61" s="7"/>
      <c r="S61" s="7"/>
      <c r="T61" s="7"/>
      <c r="U61" s="7"/>
      <c r="V61" s="8" t="s">
        <v>367</v>
      </c>
      <c r="W61" s="9">
        <f t="shared" si="0"/>
        <v>43</v>
      </c>
    </row>
    <row r="62" spans="1:23" ht="18.649999999999999" customHeight="1" x14ac:dyDescent="0.35">
      <c r="A62" s="6">
        <v>46093</v>
      </c>
      <c r="B62" s="7" t="s">
        <v>62</v>
      </c>
      <c r="C62" s="7">
        <v>6</v>
      </c>
      <c r="D62" s="6">
        <v>46090</v>
      </c>
      <c r="E62" s="8" t="s">
        <v>111</v>
      </c>
      <c r="F62" s="7" t="s">
        <v>53</v>
      </c>
      <c r="G62" s="8" t="s">
        <v>115</v>
      </c>
      <c r="H62" s="8" t="s">
        <v>116</v>
      </c>
      <c r="I62" s="7">
        <v>75</v>
      </c>
      <c r="J62" s="7"/>
      <c r="K62" s="7"/>
      <c r="L62" s="8" t="s">
        <v>124</v>
      </c>
      <c r="M62" s="8" t="s">
        <v>125</v>
      </c>
      <c r="N62" s="7" t="s">
        <v>38</v>
      </c>
      <c r="O62" s="7">
        <v>60</v>
      </c>
      <c r="P62" s="7">
        <v>26.32</v>
      </c>
      <c r="Q62" s="7"/>
      <c r="R62" s="7"/>
      <c r="S62" s="7"/>
      <c r="T62" s="7"/>
      <c r="U62" s="7"/>
      <c r="V62" s="8" t="s">
        <v>368</v>
      </c>
      <c r="W62" s="9">
        <f t="shared" si="0"/>
        <v>60</v>
      </c>
    </row>
    <row r="63" spans="1:23" ht="18.649999999999999" customHeight="1" x14ac:dyDescent="0.35">
      <c r="A63" s="6">
        <v>46093</v>
      </c>
      <c r="B63" s="7" t="s">
        <v>62</v>
      </c>
      <c r="C63" s="7">
        <v>6</v>
      </c>
      <c r="D63" s="6">
        <v>46090</v>
      </c>
      <c r="E63" s="8" t="s">
        <v>111</v>
      </c>
      <c r="F63" s="7" t="s">
        <v>39</v>
      </c>
      <c r="G63" s="8" t="s">
        <v>64</v>
      </c>
      <c r="H63" s="8" t="s">
        <v>41</v>
      </c>
      <c r="I63" s="7">
        <v>20</v>
      </c>
      <c r="J63" s="7"/>
      <c r="K63" s="7"/>
      <c r="L63" s="8" t="s">
        <v>42</v>
      </c>
      <c r="M63" s="8" t="s">
        <v>65</v>
      </c>
      <c r="N63" s="7" t="s">
        <v>72</v>
      </c>
      <c r="O63" s="7"/>
      <c r="P63" s="7"/>
      <c r="Q63" s="7"/>
      <c r="R63" s="7"/>
      <c r="S63" s="7"/>
      <c r="T63" s="7"/>
      <c r="U63" s="7"/>
      <c r="V63" s="8"/>
      <c r="W63" s="9">
        <f t="shared" si="0"/>
        <v>0</v>
      </c>
    </row>
    <row r="64" spans="1:23" ht="18.649999999999999" customHeight="1" x14ac:dyDescent="0.35">
      <c r="A64" s="6">
        <v>46094</v>
      </c>
      <c r="B64" s="7" t="s">
        <v>66</v>
      </c>
      <c r="C64" s="7">
        <v>6</v>
      </c>
      <c r="D64" s="6">
        <v>46090</v>
      </c>
      <c r="E64" s="8" t="s">
        <v>111</v>
      </c>
      <c r="F64" s="7" t="s">
        <v>46</v>
      </c>
      <c r="G64" s="8" t="s">
        <v>67</v>
      </c>
      <c r="H64" s="8" t="s">
        <v>68</v>
      </c>
      <c r="I64" s="7">
        <v>45</v>
      </c>
      <c r="J64" s="7">
        <v>1800</v>
      </c>
      <c r="K64" s="7" t="s">
        <v>49</v>
      </c>
      <c r="L64" s="8" t="s">
        <v>42</v>
      </c>
      <c r="M64" s="8" t="s">
        <v>69</v>
      </c>
      <c r="N64" s="7" t="s">
        <v>38</v>
      </c>
      <c r="O64" s="7">
        <v>32</v>
      </c>
      <c r="P64" s="7">
        <v>1500</v>
      </c>
      <c r="Q64" s="7"/>
      <c r="R64" s="7"/>
      <c r="S64" s="7"/>
      <c r="T64" s="7"/>
      <c r="U64" s="7"/>
      <c r="V64" s="8" t="s">
        <v>369</v>
      </c>
      <c r="W64" s="9">
        <f t="shared" si="0"/>
        <v>32</v>
      </c>
    </row>
    <row r="65" spans="1:23" ht="18.649999999999999" customHeight="1" x14ac:dyDescent="0.35">
      <c r="A65" s="6">
        <v>46094</v>
      </c>
      <c r="B65" s="7" t="s">
        <v>66</v>
      </c>
      <c r="C65" s="7">
        <v>6</v>
      </c>
      <c r="D65" s="6">
        <v>46090</v>
      </c>
      <c r="E65" s="8" t="s">
        <v>111</v>
      </c>
      <c r="F65" s="7" t="s">
        <v>34</v>
      </c>
      <c r="G65" s="8" t="s">
        <v>70</v>
      </c>
      <c r="H65" s="8" t="s">
        <v>34</v>
      </c>
      <c r="I65" s="7">
        <v>35</v>
      </c>
      <c r="J65" s="7"/>
      <c r="K65" s="7"/>
      <c r="L65" s="8" t="s">
        <v>36</v>
      </c>
      <c r="M65" s="8" t="s">
        <v>71</v>
      </c>
      <c r="N65" s="7" t="s">
        <v>38</v>
      </c>
      <c r="O65" s="7">
        <v>51</v>
      </c>
      <c r="P65" s="7"/>
      <c r="Q65" s="7"/>
      <c r="R65" s="7"/>
      <c r="S65" s="7"/>
      <c r="T65" s="7"/>
      <c r="U65" s="7"/>
      <c r="V65" s="8" t="s">
        <v>370</v>
      </c>
      <c r="W65" s="9">
        <f t="shared" si="0"/>
        <v>51</v>
      </c>
    </row>
    <row r="66" spans="1:23" ht="18.649999999999999" customHeight="1" x14ac:dyDescent="0.35">
      <c r="A66" s="6">
        <v>46095</v>
      </c>
      <c r="B66" s="7" t="s">
        <v>73</v>
      </c>
      <c r="C66" s="7">
        <v>6</v>
      </c>
      <c r="D66" s="6">
        <v>46090</v>
      </c>
      <c r="E66" s="8" t="s">
        <v>111</v>
      </c>
      <c r="F66" s="7" t="s">
        <v>39</v>
      </c>
      <c r="G66" s="8" t="s">
        <v>74</v>
      </c>
      <c r="H66" s="8" t="s">
        <v>41</v>
      </c>
      <c r="I66" s="7">
        <v>100</v>
      </c>
      <c r="J66" s="7"/>
      <c r="K66" s="7"/>
      <c r="L66" s="8" t="s">
        <v>126</v>
      </c>
      <c r="M66" s="8" t="s">
        <v>127</v>
      </c>
      <c r="N66" s="7" t="s">
        <v>38</v>
      </c>
      <c r="O66" s="7">
        <v>83</v>
      </c>
      <c r="P66" s="7">
        <v>13.15</v>
      </c>
      <c r="Q66" s="7"/>
      <c r="R66" s="7"/>
      <c r="S66" s="7"/>
      <c r="T66" s="7"/>
      <c r="U66" s="7"/>
      <c r="V66" s="8" t="s">
        <v>371</v>
      </c>
      <c r="W66" s="9">
        <f t="shared" ref="W66:W129" si="1">IF(OR($N66="Hecho",$N66="Parcial"),IF($O66="",0,$O66),0)</f>
        <v>83</v>
      </c>
    </row>
    <row r="67" spans="1:23" ht="18.649999999999999" customHeight="1" x14ac:dyDescent="0.35">
      <c r="A67" s="6">
        <v>46096</v>
      </c>
      <c r="B67" s="7" t="s">
        <v>77</v>
      </c>
      <c r="C67" s="7">
        <v>6</v>
      </c>
      <c r="D67" s="6">
        <v>46090</v>
      </c>
      <c r="E67" s="8" t="s">
        <v>111</v>
      </c>
      <c r="F67" s="7" t="s">
        <v>53</v>
      </c>
      <c r="G67" s="8" t="s">
        <v>119</v>
      </c>
      <c r="H67" s="8" t="s">
        <v>87</v>
      </c>
      <c r="I67" s="7">
        <v>220</v>
      </c>
      <c r="J67" s="7"/>
      <c r="K67" s="7"/>
      <c r="L67" s="8" t="s">
        <v>128</v>
      </c>
      <c r="M67" s="8" t="s">
        <v>129</v>
      </c>
      <c r="N67" s="7" t="s">
        <v>38</v>
      </c>
      <c r="O67" s="7">
        <v>196</v>
      </c>
      <c r="P67" s="7">
        <v>92.1</v>
      </c>
      <c r="Q67" s="7"/>
      <c r="R67" s="7"/>
      <c r="S67" s="7"/>
      <c r="T67" s="7"/>
      <c r="U67" s="7"/>
      <c r="V67" s="8" t="s">
        <v>372</v>
      </c>
      <c r="W67" s="9">
        <f t="shared" si="1"/>
        <v>196</v>
      </c>
    </row>
    <row r="68" spans="1:23" ht="18.649999999999999" customHeight="1" x14ac:dyDescent="0.35">
      <c r="A68" s="6">
        <v>46097</v>
      </c>
      <c r="B68" s="7" t="s">
        <v>32</v>
      </c>
      <c r="C68" s="7">
        <v>7</v>
      </c>
      <c r="D68" s="6">
        <v>46097</v>
      </c>
      <c r="E68" s="8" t="s">
        <v>130</v>
      </c>
      <c r="F68" s="7" t="s">
        <v>34</v>
      </c>
      <c r="G68" s="8" t="s">
        <v>35</v>
      </c>
      <c r="H68" s="8" t="s">
        <v>34</v>
      </c>
      <c r="I68" s="7">
        <v>45</v>
      </c>
      <c r="J68" s="7"/>
      <c r="K68" s="7"/>
      <c r="L68" s="8" t="s">
        <v>36</v>
      </c>
      <c r="M68" s="8" t="s">
        <v>37</v>
      </c>
      <c r="N68" s="7" t="s">
        <v>72</v>
      </c>
      <c r="O68" s="7"/>
      <c r="P68" s="7"/>
      <c r="Q68" s="7"/>
      <c r="R68" s="7"/>
      <c r="S68" s="7"/>
      <c r="T68" s="7"/>
      <c r="U68" s="7"/>
      <c r="V68" s="8"/>
      <c r="W68" s="9">
        <f t="shared" si="1"/>
        <v>0</v>
      </c>
    </row>
    <row r="69" spans="1:23" ht="18.649999999999999" customHeight="1" x14ac:dyDescent="0.35">
      <c r="A69" s="6">
        <v>46097</v>
      </c>
      <c r="B69" s="7" t="s">
        <v>32</v>
      </c>
      <c r="C69" s="7">
        <v>7</v>
      </c>
      <c r="D69" s="6">
        <v>46097</v>
      </c>
      <c r="E69" s="8" t="s">
        <v>130</v>
      </c>
      <c r="F69" s="7" t="s">
        <v>39</v>
      </c>
      <c r="G69" s="8" t="s">
        <v>40</v>
      </c>
      <c r="H69" s="8" t="s">
        <v>41</v>
      </c>
      <c r="I69" s="7">
        <v>30</v>
      </c>
      <c r="J69" s="7"/>
      <c r="K69" s="7"/>
      <c r="L69" s="8" t="s">
        <v>42</v>
      </c>
      <c r="M69" s="8" t="s">
        <v>43</v>
      </c>
      <c r="N69" s="7" t="s">
        <v>38</v>
      </c>
      <c r="O69" s="7">
        <v>40</v>
      </c>
      <c r="P69" s="7">
        <v>5.65</v>
      </c>
      <c r="Q69" s="7"/>
      <c r="R69" s="7"/>
      <c r="S69" s="7"/>
      <c r="T69" s="7"/>
      <c r="U69" s="7"/>
      <c r="V69" s="8" t="s">
        <v>373</v>
      </c>
      <c r="W69" s="9">
        <f t="shared" si="1"/>
        <v>40</v>
      </c>
    </row>
    <row r="70" spans="1:23" ht="18.649999999999999" customHeight="1" x14ac:dyDescent="0.35">
      <c r="A70" s="6">
        <v>46098</v>
      </c>
      <c r="B70" s="7" t="s">
        <v>45</v>
      </c>
      <c r="C70" s="7">
        <v>7</v>
      </c>
      <c r="D70" s="6">
        <v>46097</v>
      </c>
      <c r="E70" s="8" t="s">
        <v>130</v>
      </c>
      <c r="F70" s="7" t="s">
        <v>46</v>
      </c>
      <c r="G70" s="8" t="s">
        <v>131</v>
      </c>
      <c r="H70" s="8" t="s">
        <v>132</v>
      </c>
      <c r="I70" s="7">
        <v>35</v>
      </c>
      <c r="J70" s="7">
        <v>1400</v>
      </c>
      <c r="K70" s="7" t="s">
        <v>49</v>
      </c>
      <c r="L70" s="8" t="s">
        <v>95</v>
      </c>
      <c r="M70" s="8" t="s">
        <v>133</v>
      </c>
      <c r="N70" s="7" t="s">
        <v>72</v>
      </c>
      <c r="O70" s="7"/>
      <c r="P70" s="7"/>
      <c r="Q70" s="7"/>
      <c r="R70" s="7"/>
      <c r="S70" s="7"/>
      <c r="T70" s="7"/>
      <c r="U70" s="7"/>
      <c r="V70" s="8"/>
      <c r="W70" s="9">
        <f t="shared" si="1"/>
        <v>0</v>
      </c>
    </row>
    <row r="71" spans="1:23" ht="18.649999999999999" customHeight="1" x14ac:dyDescent="0.35">
      <c r="A71" s="6">
        <v>46098</v>
      </c>
      <c r="B71" s="7" t="s">
        <v>45</v>
      </c>
      <c r="C71" s="7">
        <v>7</v>
      </c>
      <c r="D71" s="6">
        <v>46097</v>
      </c>
      <c r="E71" s="8" t="s">
        <v>130</v>
      </c>
      <c r="F71" s="7" t="s">
        <v>53</v>
      </c>
      <c r="G71" s="8" t="s">
        <v>54</v>
      </c>
      <c r="H71" s="8" t="s">
        <v>132</v>
      </c>
      <c r="I71" s="7">
        <v>45</v>
      </c>
      <c r="J71" s="7"/>
      <c r="K71" s="7"/>
      <c r="L71" s="8" t="s">
        <v>42</v>
      </c>
      <c r="M71" s="8" t="s">
        <v>134</v>
      </c>
      <c r="N71" s="7" t="s">
        <v>38</v>
      </c>
      <c r="O71" s="7">
        <v>40</v>
      </c>
      <c r="P71" s="7">
        <v>0</v>
      </c>
      <c r="Q71" s="7"/>
      <c r="R71" s="7"/>
      <c r="S71" s="7"/>
      <c r="T71" s="7"/>
      <c r="U71" s="7"/>
      <c r="V71" s="8" t="s">
        <v>374</v>
      </c>
      <c r="W71" s="9">
        <f t="shared" si="1"/>
        <v>40</v>
      </c>
    </row>
    <row r="72" spans="1:23" ht="18.649999999999999" customHeight="1" x14ac:dyDescent="0.35">
      <c r="A72" s="6">
        <v>46099</v>
      </c>
      <c r="B72" s="7" t="s">
        <v>57</v>
      </c>
      <c r="C72" s="7">
        <v>7</v>
      </c>
      <c r="D72" s="6">
        <v>46097</v>
      </c>
      <c r="E72" s="8" t="s">
        <v>130</v>
      </c>
      <c r="F72" s="7" t="s">
        <v>39</v>
      </c>
      <c r="G72" s="8" t="s">
        <v>135</v>
      </c>
      <c r="H72" s="8" t="s">
        <v>132</v>
      </c>
      <c r="I72" s="7">
        <v>45</v>
      </c>
      <c r="J72" s="7"/>
      <c r="K72" s="7"/>
      <c r="L72" s="8" t="s">
        <v>136</v>
      </c>
      <c r="M72" s="8" t="s">
        <v>137</v>
      </c>
      <c r="N72" s="7" t="s">
        <v>72</v>
      </c>
      <c r="O72" s="7"/>
      <c r="P72" s="7"/>
      <c r="Q72" s="7"/>
      <c r="R72" s="7"/>
      <c r="S72" s="7"/>
      <c r="T72" s="7"/>
      <c r="U72" s="7"/>
      <c r="V72" s="8"/>
      <c r="W72" s="9">
        <f t="shared" si="1"/>
        <v>0</v>
      </c>
    </row>
    <row r="73" spans="1:23" ht="18.649999999999999" customHeight="1" x14ac:dyDescent="0.35">
      <c r="A73" s="6">
        <v>46100</v>
      </c>
      <c r="B73" s="7" t="s">
        <v>62</v>
      </c>
      <c r="C73" s="7">
        <v>7</v>
      </c>
      <c r="D73" s="6">
        <v>46097</v>
      </c>
      <c r="E73" s="8" t="s">
        <v>130</v>
      </c>
      <c r="F73" s="7" t="s">
        <v>53</v>
      </c>
      <c r="G73" s="8" t="s">
        <v>54</v>
      </c>
      <c r="H73" s="8" t="s">
        <v>132</v>
      </c>
      <c r="I73" s="7">
        <v>55</v>
      </c>
      <c r="J73" s="7"/>
      <c r="K73" s="7"/>
      <c r="L73" s="8" t="s">
        <v>42</v>
      </c>
      <c r="M73" s="8" t="s">
        <v>138</v>
      </c>
      <c r="N73" s="7" t="s">
        <v>38</v>
      </c>
      <c r="O73" s="7">
        <v>60</v>
      </c>
      <c r="P73" s="7">
        <v>26</v>
      </c>
      <c r="Q73" s="7"/>
      <c r="R73" s="7"/>
      <c r="S73" s="7"/>
      <c r="T73" s="7"/>
      <c r="U73" s="7"/>
      <c r="V73" s="8" t="s">
        <v>375</v>
      </c>
      <c r="W73" s="9">
        <f t="shared" si="1"/>
        <v>60</v>
      </c>
    </row>
    <row r="74" spans="1:23" ht="18.649999999999999" customHeight="1" x14ac:dyDescent="0.35">
      <c r="A74" s="6">
        <v>46100</v>
      </c>
      <c r="B74" s="7" t="s">
        <v>62</v>
      </c>
      <c r="C74" s="7">
        <v>7</v>
      </c>
      <c r="D74" s="6">
        <v>46097</v>
      </c>
      <c r="E74" s="8" t="s">
        <v>130</v>
      </c>
      <c r="F74" s="7" t="s">
        <v>39</v>
      </c>
      <c r="G74" s="8" t="s">
        <v>64</v>
      </c>
      <c r="H74" s="8" t="s">
        <v>132</v>
      </c>
      <c r="I74" s="7">
        <v>15</v>
      </c>
      <c r="J74" s="7"/>
      <c r="K74" s="7"/>
      <c r="L74" s="8" t="s">
        <v>42</v>
      </c>
      <c r="M74" s="8" t="s">
        <v>139</v>
      </c>
      <c r="N74" s="7" t="s">
        <v>38</v>
      </c>
      <c r="O74" s="7">
        <v>19</v>
      </c>
      <c r="P74" s="7">
        <v>3.96</v>
      </c>
      <c r="Q74" s="7"/>
      <c r="R74" s="7"/>
      <c r="S74" s="7"/>
      <c r="T74" s="7"/>
      <c r="U74" s="7"/>
      <c r="V74" s="8" t="s">
        <v>376</v>
      </c>
      <c r="W74" s="9">
        <f t="shared" si="1"/>
        <v>19</v>
      </c>
    </row>
    <row r="75" spans="1:23" ht="18.649999999999999" customHeight="1" x14ac:dyDescent="0.35">
      <c r="A75" s="6">
        <v>46101</v>
      </c>
      <c r="B75" s="7" t="s">
        <v>66</v>
      </c>
      <c r="C75" s="7">
        <v>7</v>
      </c>
      <c r="D75" s="6">
        <v>46097</v>
      </c>
      <c r="E75" s="8" t="s">
        <v>130</v>
      </c>
      <c r="F75" s="7" t="s">
        <v>46</v>
      </c>
      <c r="G75" s="8" t="s">
        <v>140</v>
      </c>
      <c r="H75" s="8" t="s">
        <v>132</v>
      </c>
      <c r="I75" s="7">
        <v>30</v>
      </c>
      <c r="J75" s="7">
        <v>1200</v>
      </c>
      <c r="K75" s="7" t="s">
        <v>49</v>
      </c>
      <c r="L75" s="8" t="s">
        <v>95</v>
      </c>
      <c r="M75" s="8" t="s">
        <v>105</v>
      </c>
      <c r="N75" s="7" t="s">
        <v>377</v>
      </c>
      <c r="O75" s="7">
        <v>3</v>
      </c>
      <c r="P75" s="7">
        <v>108</v>
      </c>
      <c r="Q75" s="7"/>
      <c r="R75" s="7"/>
      <c r="S75" s="7"/>
      <c r="T75" s="7"/>
      <c r="U75" s="7"/>
      <c r="V75" s="8" t="s">
        <v>378</v>
      </c>
      <c r="W75" s="9">
        <f t="shared" si="1"/>
        <v>3</v>
      </c>
    </row>
    <row r="76" spans="1:23" ht="18.649999999999999" customHeight="1" x14ac:dyDescent="0.35">
      <c r="A76" s="6">
        <v>46101</v>
      </c>
      <c r="B76" s="7" t="s">
        <v>66</v>
      </c>
      <c r="C76" s="7">
        <v>7</v>
      </c>
      <c r="D76" s="6">
        <v>46097</v>
      </c>
      <c r="E76" s="8" t="s">
        <v>130</v>
      </c>
      <c r="F76" s="7" t="s">
        <v>34</v>
      </c>
      <c r="G76" s="8" t="s">
        <v>70</v>
      </c>
      <c r="H76" s="8" t="s">
        <v>34</v>
      </c>
      <c r="I76" s="7">
        <v>35</v>
      </c>
      <c r="J76" s="7"/>
      <c r="K76" s="7"/>
      <c r="L76" s="8" t="s">
        <v>36</v>
      </c>
      <c r="M76" s="8" t="s">
        <v>71</v>
      </c>
      <c r="N76" s="7" t="s">
        <v>72</v>
      </c>
      <c r="O76" s="7"/>
      <c r="P76" s="7"/>
      <c r="Q76" s="7"/>
      <c r="R76" s="7"/>
      <c r="S76" s="7"/>
      <c r="T76" s="7"/>
      <c r="U76" s="7"/>
      <c r="V76" s="8"/>
      <c r="W76" s="9">
        <f t="shared" si="1"/>
        <v>0</v>
      </c>
    </row>
    <row r="77" spans="1:23" ht="18.649999999999999" customHeight="1" x14ac:dyDescent="0.35">
      <c r="A77" s="6">
        <v>46102</v>
      </c>
      <c r="B77" s="7" t="s">
        <v>73</v>
      </c>
      <c r="C77" s="7">
        <v>7</v>
      </c>
      <c r="D77" s="6">
        <v>46097</v>
      </c>
      <c r="E77" s="8" t="s">
        <v>130</v>
      </c>
      <c r="F77" s="7" t="s">
        <v>39</v>
      </c>
      <c r="G77" s="8" t="s">
        <v>141</v>
      </c>
      <c r="H77" s="8" t="s">
        <v>132</v>
      </c>
      <c r="I77" s="7">
        <v>60</v>
      </c>
      <c r="J77" s="7"/>
      <c r="K77" s="7"/>
      <c r="L77" s="8" t="s">
        <v>60</v>
      </c>
      <c r="M77" s="8" t="s">
        <v>142</v>
      </c>
      <c r="N77" s="7" t="s">
        <v>38</v>
      </c>
      <c r="O77" s="7">
        <v>34</v>
      </c>
      <c r="P77" s="7">
        <v>0.03</v>
      </c>
      <c r="Q77" s="7"/>
      <c r="R77" s="7"/>
      <c r="S77" s="7"/>
      <c r="T77" s="7"/>
      <c r="U77" s="7"/>
      <c r="V77" s="8" t="s">
        <v>379</v>
      </c>
      <c r="W77" s="9">
        <f t="shared" si="1"/>
        <v>34</v>
      </c>
    </row>
    <row r="78" spans="1:23" ht="18.649999999999999" customHeight="1" x14ac:dyDescent="0.35">
      <c r="A78" s="6">
        <v>46103</v>
      </c>
      <c r="B78" s="7" t="s">
        <v>77</v>
      </c>
      <c r="C78" s="7">
        <v>7</v>
      </c>
      <c r="D78" s="6">
        <v>46097</v>
      </c>
      <c r="E78" s="8" t="s">
        <v>130</v>
      </c>
      <c r="F78" s="7" t="s">
        <v>53</v>
      </c>
      <c r="G78" s="8" t="s">
        <v>143</v>
      </c>
      <c r="H78" s="8" t="s">
        <v>132</v>
      </c>
      <c r="I78" s="7">
        <v>120</v>
      </c>
      <c r="J78" s="7"/>
      <c r="K78" s="7"/>
      <c r="L78" s="8" t="s">
        <v>42</v>
      </c>
      <c r="M78" s="8" t="s">
        <v>144</v>
      </c>
      <c r="N78" s="7" t="s">
        <v>72</v>
      </c>
      <c r="O78" s="7"/>
      <c r="P78" s="7"/>
      <c r="Q78" s="7"/>
      <c r="R78" s="7"/>
      <c r="S78" s="7"/>
      <c r="T78" s="7"/>
      <c r="U78" s="7"/>
      <c r="V78" s="8"/>
      <c r="W78" s="9">
        <f t="shared" si="1"/>
        <v>0</v>
      </c>
    </row>
    <row r="79" spans="1:23" ht="18.649999999999999" customHeight="1" x14ac:dyDescent="0.35">
      <c r="A79" s="6">
        <v>46104</v>
      </c>
      <c r="B79" s="7" t="s">
        <v>32</v>
      </c>
      <c r="C79" s="7">
        <v>8</v>
      </c>
      <c r="D79" s="6">
        <v>46104</v>
      </c>
      <c r="E79" s="8" t="s">
        <v>145</v>
      </c>
      <c r="F79" s="7" t="s">
        <v>34</v>
      </c>
      <c r="G79" s="8" t="s">
        <v>146</v>
      </c>
      <c r="H79" s="8" t="s">
        <v>132</v>
      </c>
      <c r="I79" s="7">
        <v>30</v>
      </c>
      <c r="J79" s="7"/>
      <c r="K79" s="7"/>
      <c r="L79" s="8" t="s">
        <v>147</v>
      </c>
      <c r="M79" s="8" t="s">
        <v>148</v>
      </c>
      <c r="N79" s="7" t="s">
        <v>72</v>
      </c>
      <c r="O79" s="7"/>
      <c r="P79" s="7"/>
      <c r="Q79" s="7"/>
      <c r="R79" s="7"/>
      <c r="S79" s="7"/>
      <c r="T79" s="7"/>
      <c r="U79" s="7"/>
      <c r="V79" s="8"/>
      <c r="W79" s="9">
        <f t="shared" si="1"/>
        <v>0</v>
      </c>
    </row>
    <row r="80" spans="1:23" ht="18.649999999999999" customHeight="1" x14ac:dyDescent="0.35">
      <c r="A80" s="6">
        <v>46104</v>
      </c>
      <c r="B80" s="7" t="s">
        <v>32</v>
      </c>
      <c r="C80" s="7">
        <v>8</v>
      </c>
      <c r="D80" s="6">
        <v>46104</v>
      </c>
      <c r="E80" s="8" t="s">
        <v>145</v>
      </c>
      <c r="F80" s="7" t="s">
        <v>39</v>
      </c>
      <c r="G80" s="8" t="s">
        <v>149</v>
      </c>
      <c r="H80" s="8" t="s">
        <v>132</v>
      </c>
      <c r="I80" s="7">
        <v>30</v>
      </c>
      <c r="J80" s="7"/>
      <c r="K80" s="7"/>
      <c r="L80" s="8" t="s">
        <v>95</v>
      </c>
      <c r="M80" s="8" t="s">
        <v>150</v>
      </c>
      <c r="N80" s="7" t="s">
        <v>38</v>
      </c>
      <c r="O80" s="7">
        <v>35</v>
      </c>
      <c r="P80" s="7">
        <v>6.24</v>
      </c>
      <c r="Q80" s="7"/>
      <c r="R80" s="7"/>
      <c r="S80" s="7"/>
      <c r="T80" s="7"/>
      <c r="U80" s="7"/>
      <c r="V80" s="8" t="s">
        <v>380</v>
      </c>
      <c r="W80" s="9">
        <f t="shared" si="1"/>
        <v>35</v>
      </c>
    </row>
    <row r="81" spans="1:23" ht="18.649999999999999" customHeight="1" x14ac:dyDescent="0.35">
      <c r="A81" s="6">
        <v>46105</v>
      </c>
      <c r="B81" s="7" t="s">
        <v>45</v>
      </c>
      <c r="C81" s="7">
        <v>8</v>
      </c>
      <c r="D81" s="6">
        <v>46104</v>
      </c>
      <c r="E81" s="8" t="s">
        <v>145</v>
      </c>
      <c r="F81" s="7" t="s">
        <v>46</v>
      </c>
      <c r="G81" s="8" t="s">
        <v>151</v>
      </c>
      <c r="H81" s="8" t="s">
        <v>132</v>
      </c>
      <c r="I81" s="7">
        <v>35</v>
      </c>
      <c r="J81" s="7">
        <v>1400</v>
      </c>
      <c r="K81" s="7" t="s">
        <v>49</v>
      </c>
      <c r="L81" s="8" t="s">
        <v>95</v>
      </c>
      <c r="M81" s="8" t="s">
        <v>152</v>
      </c>
      <c r="N81" s="7" t="s">
        <v>72</v>
      </c>
      <c r="O81" s="7"/>
      <c r="P81" s="7"/>
      <c r="Q81" s="7"/>
      <c r="R81" s="7"/>
      <c r="S81" s="7"/>
      <c r="T81" s="7"/>
      <c r="U81" s="7"/>
      <c r="V81" s="8"/>
      <c r="W81" s="9">
        <f t="shared" si="1"/>
        <v>0</v>
      </c>
    </row>
    <row r="82" spans="1:23" ht="18.649999999999999" customHeight="1" x14ac:dyDescent="0.35">
      <c r="A82" s="6">
        <v>46105</v>
      </c>
      <c r="B82" s="7" t="s">
        <v>45</v>
      </c>
      <c r="C82" s="7">
        <v>8</v>
      </c>
      <c r="D82" s="6">
        <v>46104</v>
      </c>
      <c r="E82" s="8" t="s">
        <v>145</v>
      </c>
      <c r="F82" s="7" t="s">
        <v>53</v>
      </c>
      <c r="G82" s="8" t="s">
        <v>153</v>
      </c>
      <c r="H82" s="8" t="s">
        <v>132</v>
      </c>
      <c r="I82" s="7">
        <v>40</v>
      </c>
      <c r="J82" s="7"/>
      <c r="K82" s="7"/>
      <c r="L82" s="8" t="s">
        <v>42</v>
      </c>
      <c r="M82" s="8" t="s">
        <v>154</v>
      </c>
      <c r="N82" s="7" t="s">
        <v>72</v>
      </c>
      <c r="O82" s="7"/>
      <c r="P82" s="7"/>
      <c r="Q82" s="7"/>
      <c r="R82" s="7"/>
      <c r="S82" s="7"/>
      <c r="T82" s="7"/>
      <c r="U82" s="7"/>
      <c r="V82" s="8"/>
      <c r="W82" s="9">
        <f t="shared" si="1"/>
        <v>0</v>
      </c>
    </row>
    <row r="83" spans="1:23" ht="18.649999999999999" customHeight="1" x14ac:dyDescent="0.35">
      <c r="A83" s="6">
        <v>46106</v>
      </c>
      <c r="B83" s="7" t="s">
        <v>57</v>
      </c>
      <c r="C83" s="7">
        <v>8</v>
      </c>
      <c r="D83" s="6">
        <v>46104</v>
      </c>
      <c r="E83" s="8" t="s">
        <v>145</v>
      </c>
      <c r="F83" s="7" t="s">
        <v>155</v>
      </c>
      <c r="G83" s="8" t="s">
        <v>156</v>
      </c>
      <c r="H83" s="8" t="s">
        <v>157</v>
      </c>
      <c r="I83" s="7">
        <v>150</v>
      </c>
      <c r="J83" s="7"/>
      <c r="K83" s="7"/>
      <c r="L83" s="8" t="s">
        <v>158</v>
      </c>
      <c r="M83" s="8" t="s">
        <v>159</v>
      </c>
      <c r="N83" s="7" t="s">
        <v>381</v>
      </c>
      <c r="O83" s="7"/>
      <c r="P83" s="7"/>
      <c r="Q83" s="7"/>
      <c r="R83" s="7"/>
      <c r="S83" s="7"/>
      <c r="T83" s="7"/>
      <c r="U83" s="7"/>
      <c r="V83" s="8" t="s">
        <v>382</v>
      </c>
      <c r="W83" s="9">
        <f t="shared" si="1"/>
        <v>0</v>
      </c>
    </row>
    <row r="84" spans="1:23" ht="18.649999999999999" customHeight="1" x14ac:dyDescent="0.35">
      <c r="A84" s="6">
        <v>46107</v>
      </c>
      <c r="B84" s="7" t="s">
        <v>62</v>
      </c>
      <c r="C84" s="7">
        <v>8</v>
      </c>
      <c r="D84" s="6">
        <v>46104</v>
      </c>
      <c r="E84" s="8" t="s">
        <v>145</v>
      </c>
      <c r="F84" s="7" t="s">
        <v>94</v>
      </c>
      <c r="G84" s="8" t="s">
        <v>160</v>
      </c>
      <c r="H84" s="8" t="s">
        <v>94</v>
      </c>
      <c r="I84" s="7">
        <v>30</v>
      </c>
      <c r="J84" s="7"/>
      <c r="K84" s="7"/>
      <c r="L84" s="8" t="s">
        <v>161</v>
      </c>
      <c r="M84" s="8" t="s">
        <v>162</v>
      </c>
      <c r="N84" s="7" t="s">
        <v>72</v>
      </c>
      <c r="O84" s="7"/>
      <c r="P84" s="7"/>
      <c r="Q84" s="7"/>
      <c r="R84" s="7"/>
      <c r="S84" s="7"/>
      <c r="T84" s="7"/>
      <c r="U84" s="7"/>
      <c r="V84" s="8"/>
      <c r="W84" s="9">
        <f t="shared" si="1"/>
        <v>0</v>
      </c>
    </row>
    <row r="85" spans="1:23" ht="18.649999999999999" customHeight="1" x14ac:dyDescent="0.35">
      <c r="A85" s="6">
        <v>46108</v>
      </c>
      <c r="B85" s="7" t="s">
        <v>66</v>
      </c>
      <c r="C85" s="7">
        <v>8</v>
      </c>
      <c r="D85" s="6">
        <v>46104</v>
      </c>
      <c r="E85" s="8" t="s">
        <v>145</v>
      </c>
      <c r="F85" s="7" t="s">
        <v>46</v>
      </c>
      <c r="G85" s="8" t="s">
        <v>163</v>
      </c>
      <c r="H85" s="8" t="s">
        <v>94</v>
      </c>
      <c r="I85" s="7">
        <v>40</v>
      </c>
      <c r="J85" s="7">
        <v>1500</v>
      </c>
      <c r="K85" s="7" t="s">
        <v>49</v>
      </c>
      <c r="L85" s="8" t="s">
        <v>95</v>
      </c>
      <c r="M85" s="8" t="s">
        <v>164</v>
      </c>
      <c r="N85" s="7" t="s">
        <v>72</v>
      </c>
      <c r="O85" s="7"/>
      <c r="P85" s="7"/>
      <c r="Q85" s="7"/>
      <c r="R85" s="7"/>
      <c r="S85" s="7"/>
      <c r="T85" s="7"/>
      <c r="U85" s="7"/>
      <c r="V85" s="8"/>
      <c r="W85" s="9">
        <f t="shared" si="1"/>
        <v>0</v>
      </c>
    </row>
    <row r="86" spans="1:23" ht="18.649999999999999" customHeight="1" x14ac:dyDescent="0.35">
      <c r="A86" s="6">
        <v>46108</v>
      </c>
      <c r="B86" s="7" t="s">
        <v>66</v>
      </c>
      <c r="C86" s="7">
        <v>8</v>
      </c>
      <c r="D86" s="6">
        <v>46104</v>
      </c>
      <c r="E86" s="8" t="s">
        <v>145</v>
      </c>
      <c r="F86" s="7" t="s">
        <v>34</v>
      </c>
      <c r="G86" s="8" t="s">
        <v>165</v>
      </c>
      <c r="H86" s="8" t="s">
        <v>94</v>
      </c>
      <c r="I86" s="7">
        <v>30</v>
      </c>
      <c r="J86" s="7"/>
      <c r="K86" s="7"/>
      <c r="L86" s="8" t="s">
        <v>147</v>
      </c>
      <c r="M86" s="8" t="s">
        <v>166</v>
      </c>
      <c r="N86" s="7" t="s">
        <v>72</v>
      </c>
      <c r="O86" s="7"/>
      <c r="P86" s="7"/>
      <c r="Q86" s="7"/>
      <c r="R86" s="7"/>
      <c r="S86" s="7"/>
      <c r="T86" s="7"/>
      <c r="U86" s="7"/>
      <c r="V86" s="8"/>
      <c r="W86" s="9">
        <f t="shared" si="1"/>
        <v>0</v>
      </c>
    </row>
    <row r="87" spans="1:23" ht="18.649999999999999" customHeight="1" x14ac:dyDescent="0.35">
      <c r="A87" s="6">
        <v>46109</v>
      </c>
      <c r="B87" s="7" t="s">
        <v>73</v>
      </c>
      <c r="C87" s="7">
        <v>8</v>
      </c>
      <c r="D87" s="6">
        <v>46104</v>
      </c>
      <c r="E87" s="8" t="s">
        <v>145</v>
      </c>
      <c r="F87" s="7" t="s">
        <v>39</v>
      </c>
      <c r="G87" s="8" t="s">
        <v>167</v>
      </c>
      <c r="H87" s="8" t="s">
        <v>41</v>
      </c>
      <c r="I87" s="7">
        <v>70</v>
      </c>
      <c r="J87" s="7"/>
      <c r="K87" s="7"/>
      <c r="L87" s="8" t="s">
        <v>42</v>
      </c>
      <c r="M87" s="8" t="s">
        <v>168</v>
      </c>
      <c r="N87" s="7" t="s">
        <v>72</v>
      </c>
      <c r="O87" s="7"/>
      <c r="P87" s="7"/>
      <c r="Q87" s="7"/>
      <c r="R87" s="7"/>
      <c r="S87" s="7"/>
      <c r="T87" s="7"/>
      <c r="U87" s="7"/>
      <c r="V87" s="8"/>
      <c r="W87" s="9">
        <f t="shared" si="1"/>
        <v>0</v>
      </c>
    </row>
    <row r="88" spans="1:23" ht="18.649999999999999" customHeight="1" x14ac:dyDescent="0.35">
      <c r="A88" s="6">
        <v>46110</v>
      </c>
      <c r="B88" s="7" t="s">
        <v>77</v>
      </c>
      <c r="C88" s="7">
        <v>8</v>
      </c>
      <c r="D88" s="6">
        <v>46104</v>
      </c>
      <c r="E88" s="8" t="s">
        <v>145</v>
      </c>
      <c r="F88" s="7" t="s">
        <v>53</v>
      </c>
      <c r="G88" s="8" t="s">
        <v>169</v>
      </c>
      <c r="H88" s="8" t="s">
        <v>41</v>
      </c>
      <c r="I88" s="7">
        <v>150</v>
      </c>
      <c r="J88" s="7"/>
      <c r="K88" s="7"/>
      <c r="L88" s="8" t="s">
        <v>42</v>
      </c>
      <c r="M88" s="8" t="s">
        <v>170</v>
      </c>
      <c r="N88" s="7" t="s">
        <v>72</v>
      </c>
      <c r="O88" s="7"/>
      <c r="P88" s="7"/>
      <c r="Q88" s="7"/>
      <c r="R88" s="7"/>
      <c r="S88" s="7"/>
      <c r="T88" s="7"/>
      <c r="U88" s="7"/>
      <c r="V88" s="8"/>
      <c r="W88" s="9">
        <f t="shared" si="1"/>
        <v>0</v>
      </c>
    </row>
    <row r="89" spans="1:23" ht="18.649999999999999" customHeight="1" x14ac:dyDescent="0.35">
      <c r="A89" s="6">
        <v>46111</v>
      </c>
      <c r="B89" s="7" t="s">
        <v>32</v>
      </c>
      <c r="C89" s="7">
        <v>9</v>
      </c>
      <c r="D89" s="6">
        <v>46111</v>
      </c>
      <c r="E89" s="8" t="s">
        <v>171</v>
      </c>
      <c r="F89" s="7" t="s">
        <v>34</v>
      </c>
      <c r="G89" s="8" t="s">
        <v>35</v>
      </c>
      <c r="H89" s="8" t="s">
        <v>34</v>
      </c>
      <c r="I89" s="7">
        <v>45</v>
      </c>
      <c r="J89" s="7"/>
      <c r="K89" s="7" t="s">
        <v>45</v>
      </c>
      <c r="L89" s="8" t="s">
        <v>36</v>
      </c>
      <c r="M89" s="8" t="s">
        <v>37</v>
      </c>
      <c r="N89" s="7" t="s">
        <v>52</v>
      </c>
      <c r="O89" s="7">
        <v>30</v>
      </c>
      <c r="P89" s="7"/>
      <c r="Q89" s="7"/>
      <c r="R89" s="7"/>
      <c r="S89" s="7"/>
      <c r="T89" s="7"/>
      <c r="U89" s="7"/>
      <c r="V89" s="8"/>
      <c r="W89" s="9">
        <f t="shared" si="1"/>
        <v>30</v>
      </c>
    </row>
    <row r="90" spans="1:23" ht="18.649999999999999" customHeight="1" x14ac:dyDescent="0.35">
      <c r="A90" s="6">
        <v>46111</v>
      </c>
      <c r="B90" s="7" t="s">
        <v>32</v>
      </c>
      <c r="C90" s="7">
        <v>9</v>
      </c>
      <c r="D90" s="6">
        <v>46111</v>
      </c>
      <c r="E90" s="8" t="s">
        <v>171</v>
      </c>
      <c r="F90" s="7" t="s">
        <v>39</v>
      </c>
      <c r="G90" s="8" t="s">
        <v>40</v>
      </c>
      <c r="H90" s="8" t="s">
        <v>41</v>
      </c>
      <c r="I90" s="7">
        <v>40</v>
      </c>
      <c r="J90" s="7"/>
      <c r="K90" s="7" t="s">
        <v>32</v>
      </c>
      <c r="L90" s="8" t="s">
        <v>42</v>
      </c>
      <c r="M90" s="8" t="s">
        <v>43</v>
      </c>
      <c r="N90" s="7" t="s">
        <v>52</v>
      </c>
      <c r="O90" s="7">
        <v>51</v>
      </c>
      <c r="P90" s="7">
        <v>8.2899999999999991</v>
      </c>
      <c r="Q90" s="7"/>
      <c r="R90" s="7">
        <v>147</v>
      </c>
      <c r="S90" s="7">
        <v>181</v>
      </c>
      <c r="T90" s="7"/>
      <c r="U90" s="7"/>
      <c r="V90" s="8" t="s">
        <v>172</v>
      </c>
      <c r="W90" s="9">
        <f t="shared" si="1"/>
        <v>51</v>
      </c>
    </row>
    <row r="91" spans="1:23" ht="18.649999999999999" customHeight="1" x14ac:dyDescent="0.35">
      <c r="A91" s="6">
        <v>46112</v>
      </c>
      <c r="B91" s="7" t="s">
        <v>45</v>
      </c>
      <c r="C91" s="7">
        <v>9</v>
      </c>
      <c r="D91" s="6">
        <v>46111</v>
      </c>
      <c r="E91" s="8" t="s">
        <v>171</v>
      </c>
      <c r="F91" s="7" t="s">
        <v>46</v>
      </c>
      <c r="G91" s="8" t="s">
        <v>47</v>
      </c>
      <c r="H91" s="8" t="s">
        <v>48</v>
      </c>
      <c r="I91" s="7">
        <v>45</v>
      </c>
      <c r="J91" s="7">
        <v>2000</v>
      </c>
      <c r="K91" s="7" t="s">
        <v>32</v>
      </c>
      <c r="L91" s="8" t="s">
        <v>50</v>
      </c>
      <c r="M91" s="8" t="s">
        <v>51</v>
      </c>
      <c r="N91" s="7" t="s">
        <v>72</v>
      </c>
      <c r="O91" s="7"/>
      <c r="P91" s="7"/>
      <c r="Q91" s="7"/>
      <c r="R91" s="7"/>
      <c r="S91" s="7"/>
      <c r="T91" s="7"/>
      <c r="U91" s="7"/>
      <c r="V91" s="8"/>
      <c r="W91" s="9">
        <f t="shared" si="1"/>
        <v>0</v>
      </c>
    </row>
    <row r="92" spans="1:23" ht="18.649999999999999" customHeight="1" x14ac:dyDescent="0.35">
      <c r="A92" s="6">
        <v>46112</v>
      </c>
      <c r="B92" s="7" t="s">
        <v>45</v>
      </c>
      <c r="C92" s="7">
        <v>9</v>
      </c>
      <c r="D92" s="6">
        <v>46111</v>
      </c>
      <c r="E92" s="8" t="s">
        <v>171</v>
      </c>
      <c r="F92" s="7" t="s">
        <v>53</v>
      </c>
      <c r="G92" s="8" t="s">
        <v>54</v>
      </c>
      <c r="H92" s="8" t="s">
        <v>41</v>
      </c>
      <c r="I92" s="7">
        <v>60</v>
      </c>
      <c r="J92" s="7"/>
      <c r="K92" s="7" t="s">
        <v>45</v>
      </c>
      <c r="L92" s="8" t="s">
        <v>55</v>
      </c>
      <c r="M92" s="8" t="s">
        <v>56</v>
      </c>
      <c r="N92" s="7" t="s">
        <v>52</v>
      </c>
      <c r="O92" s="7">
        <v>60</v>
      </c>
      <c r="P92" s="7">
        <v>26.35</v>
      </c>
      <c r="Q92" s="7"/>
      <c r="R92" s="7">
        <v>111</v>
      </c>
      <c r="S92" s="7">
        <v>135</v>
      </c>
      <c r="T92" s="7">
        <v>112</v>
      </c>
      <c r="U92" s="7"/>
      <c r="V92" s="8"/>
      <c r="W92" s="9">
        <f t="shared" si="1"/>
        <v>60</v>
      </c>
    </row>
    <row r="93" spans="1:23" ht="18.649999999999999" customHeight="1" x14ac:dyDescent="0.35">
      <c r="A93" s="6">
        <v>46113</v>
      </c>
      <c r="B93" s="7" t="s">
        <v>57</v>
      </c>
      <c r="C93" s="7">
        <v>9</v>
      </c>
      <c r="D93" s="6">
        <v>46111</v>
      </c>
      <c r="E93" s="8" t="s">
        <v>171</v>
      </c>
      <c r="F93" s="7" t="s">
        <v>39</v>
      </c>
      <c r="G93" s="8" t="s">
        <v>112</v>
      </c>
      <c r="H93" s="8" t="s">
        <v>87</v>
      </c>
      <c r="I93" s="7">
        <v>70</v>
      </c>
      <c r="J93" s="7"/>
      <c r="K93" s="7" t="s">
        <v>173</v>
      </c>
      <c r="L93" s="8" t="s">
        <v>113</v>
      </c>
      <c r="M93" s="8" t="s">
        <v>123</v>
      </c>
      <c r="N93" s="7" t="s">
        <v>52</v>
      </c>
      <c r="O93" s="7">
        <v>65</v>
      </c>
      <c r="P93" s="7">
        <v>10.59</v>
      </c>
      <c r="Q93" s="7"/>
      <c r="R93" s="7">
        <v>140</v>
      </c>
      <c r="S93" s="7">
        <v>159</v>
      </c>
      <c r="T93" s="7"/>
      <c r="U93" s="7"/>
      <c r="V93" s="8"/>
      <c r="W93" s="9">
        <f t="shared" si="1"/>
        <v>65</v>
      </c>
    </row>
    <row r="94" spans="1:23" ht="18.649999999999999" customHeight="1" x14ac:dyDescent="0.35">
      <c r="A94" s="6">
        <v>46114</v>
      </c>
      <c r="B94" s="7" t="s">
        <v>62</v>
      </c>
      <c r="C94" s="7">
        <v>9</v>
      </c>
      <c r="D94" s="6">
        <v>46111</v>
      </c>
      <c r="E94" s="8" t="s">
        <v>171</v>
      </c>
      <c r="F94" s="7" t="s">
        <v>53</v>
      </c>
      <c r="G94" s="8" t="s">
        <v>115</v>
      </c>
      <c r="H94" s="8" t="s">
        <v>116</v>
      </c>
      <c r="I94" s="7">
        <v>75</v>
      </c>
      <c r="J94" s="7"/>
      <c r="K94" s="7" t="s">
        <v>62</v>
      </c>
      <c r="L94" s="8" t="s">
        <v>124</v>
      </c>
      <c r="M94" s="8" t="s">
        <v>174</v>
      </c>
      <c r="N94" s="7" t="s">
        <v>52</v>
      </c>
      <c r="O94" s="7">
        <v>60</v>
      </c>
      <c r="P94" s="7">
        <v>26.21</v>
      </c>
      <c r="Q94" s="7"/>
      <c r="R94" s="7">
        <v>137</v>
      </c>
      <c r="S94" s="7">
        <v>169</v>
      </c>
      <c r="T94" s="7">
        <v>140</v>
      </c>
      <c r="U94" s="7"/>
      <c r="V94" s="8"/>
      <c r="W94" s="9">
        <f t="shared" si="1"/>
        <v>60</v>
      </c>
    </row>
    <row r="95" spans="1:23" ht="18.649999999999999" customHeight="1" x14ac:dyDescent="0.35">
      <c r="A95" s="6">
        <v>46114</v>
      </c>
      <c r="B95" s="7" t="s">
        <v>62</v>
      </c>
      <c r="C95" s="7">
        <v>9</v>
      </c>
      <c r="D95" s="6">
        <v>46111</v>
      </c>
      <c r="E95" s="8" t="s">
        <v>171</v>
      </c>
      <c r="F95" s="7" t="s">
        <v>39</v>
      </c>
      <c r="G95" s="8" t="s">
        <v>64</v>
      </c>
      <c r="H95" s="8" t="s">
        <v>41</v>
      </c>
      <c r="I95" s="7">
        <v>25</v>
      </c>
      <c r="J95" s="7"/>
      <c r="K95" s="7" t="s">
        <v>62</v>
      </c>
      <c r="L95" s="8" t="s">
        <v>42</v>
      </c>
      <c r="M95" s="8" t="s">
        <v>65</v>
      </c>
      <c r="N95" s="7" t="s">
        <v>52</v>
      </c>
      <c r="O95" s="7">
        <v>27</v>
      </c>
      <c r="P95" s="7">
        <v>4.1399999999999997</v>
      </c>
      <c r="Q95" s="7"/>
      <c r="R95" s="7">
        <v>149</v>
      </c>
      <c r="S95" s="7">
        <v>163</v>
      </c>
      <c r="T95" s="7"/>
      <c r="U95" s="7"/>
      <c r="V95" s="8"/>
      <c r="W95" s="9">
        <f t="shared" si="1"/>
        <v>27</v>
      </c>
    </row>
    <row r="96" spans="1:23" ht="18.649999999999999" customHeight="1" x14ac:dyDescent="0.35">
      <c r="A96" s="6">
        <v>46115</v>
      </c>
      <c r="B96" s="7" t="s">
        <v>66</v>
      </c>
      <c r="C96" s="7">
        <v>9</v>
      </c>
      <c r="D96" s="6">
        <v>46111</v>
      </c>
      <c r="E96" s="8" t="s">
        <v>171</v>
      </c>
      <c r="F96" s="7" t="s">
        <v>46</v>
      </c>
      <c r="G96" s="8" t="s">
        <v>67</v>
      </c>
      <c r="H96" s="8" t="s">
        <v>68</v>
      </c>
      <c r="I96" s="7">
        <v>45</v>
      </c>
      <c r="J96" s="7">
        <v>1800</v>
      </c>
      <c r="K96" s="7" t="s">
        <v>66</v>
      </c>
      <c r="L96" s="8" t="s">
        <v>42</v>
      </c>
      <c r="M96" s="8" t="s">
        <v>69</v>
      </c>
      <c r="N96" s="7" t="s">
        <v>72</v>
      </c>
      <c r="O96" s="7"/>
      <c r="P96" s="7"/>
      <c r="Q96" s="7"/>
      <c r="R96" s="7"/>
      <c r="S96" s="7"/>
      <c r="T96" s="7"/>
      <c r="U96" s="7"/>
      <c r="V96" s="8"/>
      <c r="W96" s="9">
        <f t="shared" si="1"/>
        <v>0</v>
      </c>
    </row>
    <row r="97" spans="1:23" ht="18.649999999999999" customHeight="1" x14ac:dyDescent="0.35">
      <c r="A97" s="6">
        <v>46115</v>
      </c>
      <c r="B97" s="7" t="s">
        <v>66</v>
      </c>
      <c r="C97" s="7">
        <v>9</v>
      </c>
      <c r="D97" s="6">
        <v>46111</v>
      </c>
      <c r="E97" s="8" t="s">
        <v>171</v>
      </c>
      <c r="F97" s="7" t="s">
        <v>34</v>
      </c>
      <c r="G97" s="8" t="s">
        <v>70</v>
      </c>
      <c r="H97" s="8" t="s">
        <v>34</v>
      </c>
      <c r="I97" s="7">
        <v>35</v>
      </c>
      <c r="J97" s="7"/>
      <c r="K97" s="7" t="s">
        <v>66</v>
      </c>
      <c r="L97" s="8" t="s">
        <v>36</v>
      </c>
      <c r="M97" s="8" t="s">
        <v>71</v>
      </c>
      <c r="N97" s="7" t="s">
        <v>72</v>
      </c>
      <c r="O97" s="7"/>
      <c r="P97" s="7"/>
      <c r="Q97" s="7"/>
      <c r="R97" s="7"/>
      <c r="S97" s="7"/>
      <c r="T97" s="7"/>
      <c r="U97" s="7"/>
      <c r="V97" s="8"/>
      <c r="W97" s="9">
        <f t="shared" si="1"/>
        <v>0</v>
      </c>
    </row>
    <row r="98" spans="1:23" ht="18.649999999999999" customHeight="1" x14ac:dyDescent="0.35">
      <c r="A98" s="6">
        <v>46116</v>
      </c>
      <c r="B98" s="7" t="s">
        <v>73</v>
      </c>
      <c r="C98" s="7">
        <v>9</v>
      </c>
      <c r="D98" s="6">
        <v>46111</v>
      </c>
      <c r="E98" s="8" t="s">
        <v>171</v>
      </c>
      <c r="F98" s="7" t="s">
        <v>39</v>
      </c>
      <c r="G98" s="8" t="s">
        <v>74</v>
      </c>
      <c r="H98" s="8" t="s">
        <v>41</v>
      </c>
      <c r="I98" s="7">
        <v>105</v>
      </c>
      <c r="J98" s="7"/>
      <c r="K98" s="7" t="s">
        <v>175</v>
      </c>
      <c r="L98" s="8" t="s">
        <v>42</v>
      </c>
      <c r="M98" s="8" t="s">
        <v>75</v>
      </c>
      <c r="N98" s="7" t="s">
        <v>52</v>
      </c>
      <c r="O98" s="7">
        <v>40</v>
      </c>
      <c r="P98" s="7">
        <v>6.64</v>
      </c>
      <c r="Q98" s="7"/>
      <c r="R98" s="7">
        <v>145</v>
      </c>
      <c r="S98" s="7">
        <v>161</v>
      </c>
      <c r="T98" s="7"/>
      <c r="U98" s="7"/>
      <c r="V98" s="8"/>
      <c r="W98" s="9">
        <f t="shared" si="1"/>
        <v>40</v>
      </c>
    </row>
    <row r="99" spans="1:23" ht="18.649999999999999" customHeight="1" x14ac:dyDescent="0.35">
      <c r="A99" s="6">
        <v>46117</v>
      </c>
      <c r="B99" s="7" t="s">
        <v>77</v>
      </c>
      <c r="C99" s="7">
        <v>9</v>
      </c>
      <c r="D99" s="6">
        <v>46111</v>
      </c>
      <c r="E99" s="8" t="s">
        <v>171</v>
      </c>
      <c r="F99" s="7" t="s">
        <v>53</v>
      </c>
      <c r="G99" s="8" t="s">
        <v>119</v>
      </c>
      <c r="H99" s="8" t="s">
        <v>87</v>
      </c>
      <c r="I99" s="7">
        <v>220</v>
      </c>
      <c r="J99" s="7"/>
      <c r="K99" s="7" t="s">
        <v>77</v>
      </c>
      <c r="L99" s="8" t="s">
        <v>176</v>
      </c>
      <c r="M99" s="8" t="s">
        <v>177</v>
      </c>
      <c r="N99" s="7" t="s">
        <v>52</v>
      </c>
      <c r="O99" s="7">
        <v>180</v>
      </c>
      <c r="P99" s="7">
        <v>92.13</v>
      </c>
      <c r="Q99" s="7"/>
      <c r="R99" s="7">
        <v>152</v>
      </c>
      <c r="S99" s="7">
        <v>168</v>
      </c>
      <c r="T99" s="7">
        <v>132</v>
      </c>
      <c r="U99" s="7"/>
      <c r="V99" s="8"/>
      <c r="W99" s="9">
        <f t="shared" si="1"/>
        <v>180</v>
      </c>
    </row>
    <row r="100" spans="1:23" ht="18.649999999999999" customHeight="1" x14ac:dyDescent="0.35">
      <c r="A100" s="6">
        <v>46118</v>
      </c>
      <c r="B100" s="7" t="s">
        <v>32</v>
      </c>
      <c r="C100" s="7">
        <v>10</v>
      </c>
      <c r="D100" s="6">
        <v>46118</v>
      </c>
      <c r="E100" s="8" t="s">
        <v>171</v>
      </c>
      <c r="F100" s="7" t="s">
        <v>34</v>
      </c>
      <c r="G100" s="8" t="s">
        <v>35</v>
      </c>
      <c r="H100" s="8" t="s">
        <v>34</v>
      </c>
      <c r="I100" s="7">
        <v>45</v>
      </c>
      <c r="J100" s="7"/>
      <c r="K100" s="7"/>
      <c r="L100" s="8" t="s">
        <v>36</v>
      </c>
      <c r="M100" s="8" t="s">
        <v>37</v>
      </c>
      <c r="N100" s="7" t="s">
        <v>52</v>
      </c>
      <c r="O100" s="7">
        <v>41</v>
      </c>
      <c r="P100" s="7"/>
      <c r="Q100" s="7"/>
      <c r="R100" s="7">
        <v>87</v>
      </c>
      <c r="S100" s="7">
        <v>120</v>
      </c>
      <c r="T100" s="7"/>
      <c r="U100" s="7"/>
      <c r="V100" s="8"/>
      <c r="W100" s="9">
        <f t="shared" si="1"/>
        <v>41</v>
      </c>
    </row>
    <row r="101" spans="1:23" ht="18.649999999999999" customHeight="1" x14ac:dyDescent="0.35">
      <c r="A101" s="6">
        <v>46118</v>
      </c>
      <c r="B101" s="7" t="s">
        <v>32</v>
      </c>
      <c r="C101" s="7">
        <v>10</v>
      </c>
      <c r="D101" s="6">
        <v>46118</v>
      </c>
      <c r="E101" s="8" t="s">
        <v>171</v>
      </c>
      <c r="F101" s="7" t="s">
        <v>39</v>
      </c>
      <c r="G101" s="8" t="s">
        <v>40</v>
      </c>
      <c r="H101" s="8" t="s">
        <v>41</v>
      </c>
      <c r="I101" s="7">
        <v>40</v>
      </c>
      <c r="J101" s="7"/>
      <c r="K101" s="7"/>
      <c r="L101" s="8" t="s">
        <v>42</v>
      </c>
      <c r="M101" s="8" t="s">
        <v>43</v>
      </c>
      <c r="N101" s="7" t="s">
        <v>52</v>
      </c>
      <c r="O101" s="7">
        <v>40</v>
      </c>
      <c r="P101" s="7">
        <v>5.7</v>
      </c>
      <c r="Q101" s="7"/>
      <c r="R101" s="7">
        <v>129</v>
      </c>
      <c r="S101" s="7">
        <v>144</v>
      </c>
      <c r="T101" s="7"/>
      <c r="U101" s="7"/>
      <c r="V101" s="8"/>
      <c r="W101" s="9">
        <f t="shared" si="1"/>
        <v>40</v>
      </c>
    </row>
    <row r="102" spans="1:23" ht="18.649999999999999" customHeight="1" x14ac:dyDescent="0.35">
      <c r="A102" s="6">
        <v>46119</v>
      </c>
      <c r="B102" s="7" t="s">
        <v>45</v>
      </c>
      <c r="C102" s="7">
        <v>10</v>
      </c>
      <c r="D102" s="6">
        <v>46118</v>
      </c>
      <c r="E102" s="8" t="s">
        <v>171</v>
      </c>
      <c r="F102" s="7" t="s">
        <v>46</v>
      </c>
      <c r="G102" s="8" t="s">
        <v>47</v>
      </c>
      <c r="H102" s="8" t="s">
        <v>48</v>
      </c>
      <c r="I102" s="7">
        <v>45</v>
      </c>
      <c r="J102" s="7">
        <v>2000</v>
      </c>
      <c r="K102" s="7" t="s">
        <v>49</v>
      </c>
      <c r="L102" s="8" t="s">
        <v>50</v>
      </c>
      <c r="M102" s="8" t="s">
        <v>51</v>
      </c>
      <c r="N102" s="7" t="s">
        <v>52</v>
      </c>
      <c r="O102" s="7">
        <v>37</v>
      </c>
      <c r="P102" s="7">
        <v>1925</v>
      </c>
      <c r="Q102" s="7"/>
      <c r="R102" s="7">
        <v>118</v>
      </c>
      <c r="S102" s="7">
        <v>166</v>
      </c>
      <c r="T102" s="7"/>
      <c r="U102" s="7"/>
      <c r="V102" s="8"/>
      <c r="W102" s="9">
        <f t="shared" si="1"/>
        <v>37</v>
      </c>
    </row>
    <row r="103" spans="1:23" ht="18.649999999999999" customHeight="1" x14ac:dyDescent="0.35">
      <c r="A103" s="6">
        <v>46119</v>
      </c>
      <c r="B103" s="7" t="s">
        <v>45</v>
      </c>
      <c r="C103" s="7">
        <v>10</v>
      </c>
      <c r="D103" s="6">
        <v>46118</v>
      </c>
      <c r="E103" s="8" t="s">
        <v>171</v>
      </c>
      <c r="F103" s="7" t="s">
        <v>53</v>
      </c>
      <c r="G103" s="8" t="s">
        <v>54</v>
      </c>
      <c r="H103" s="8" t="s">
        <v>41</v>
      </c>
      <c r="I103" s="7">
        <v>60</v>
      </c>
      <c r="J103" s="7"/>
      <c r="K103" s="7"/>
      <c r="L103" s="8" t="s">
        <v>55</v>
      </c>
      <c r="M103" s="8" t="s">
        <v>56</v>
      </c>
      <c r="N103" s="7" t="s">
        <v>52</v>
      </c>
      <c r="O103" s="7">
        <v>50</v>
      </c>
      <c r="P103" s="7">
        <v>10.65</v>
      </c>
      <c r="Q103" s="7"/>
      <c r="R103" s="7">
        <v>122</v>
      </c>
      <c r="S103" s="7">
        <v>139</v>
      </c>
      <c r="T103" s="7"/>
      <c r="U103" s="7"/>
      <c r="V103" s="8"/>
      <c r="W103" s="9">
        <f t="shared" si="1"/>
        <v>50</v>
      </c>
    </row>
    <row r="104" spans="1:23" ht="18.649999999999999" customHeight="1" x14ac:dyDescent="0.35">
      <c r="A104" s="6">
        <v>46120</v>
      </c>
      <c r="B104" s="7" t="s">
        <v>57</v>
      </c>
      <c r="C104" s="7">
        <v>10</v>
      </c>
      <c r="D104" s="6">
        <v>46118</v>
      </c>
      <c r="E104" s="8" t="s">
        <v>171</v>
      </c>
      <c r="F104" s="7" t="s">
        <v>39</v>
      </c>
      <c r="G104" s="8" t="s">
        <v>112</v>
      </c>
      <c r="H104" s="8" t="s">
        <v>87</v>
      </c>
      <c r="I104" s="7">
        <v>70</v>
      </c>
      <c r="J104" s="7"/>
      <c r="K104" s="7"/>
      <c r="L104" s="8" t="s">
        <v>113</v>
      </c>
      <c r="M104" s="8" t="s">
        <v>178</v>
      </c>
      <c r="N104" s="7" t="s">
        <v>52</v>
      </c>
      <c r="O104" s="7">
        <v>60</v>
      </c>
      <c r="P104" s="7">
        <v>9.83</v>
      </c>
      <c r="Q104" s="7"/>
      <c r="R104" s="7">
        <v>148</v>
      </c>
      <c r="S104" s="7">
        <v>174</v>
      </c>
      <c r="T104" s="7"/>
      <c r="U104" s="7"/>
      <c r="V104" s="8"/>
      <c r="W104" s="9">
        <f t="shared" si="1"/>
        <v>60</v>
      </c>
    </row>
    <row r="105" spans="1:23" ht="18.649999999999999" customHeight="1" x14ac:dyDescent="0.35">
      <c r="A105" s="6">
        <v>46121</v>
      </c>
      <c r="B105" s="7" t="s">
        <v>62</v>
      </c>
      <c r="C105" s="7">
        <v>10</v>
      </c>
      <c r="D105" s="6">
        <v>46118</v>
      </c>
      <c r="E105" s="8" t="s">
        <v>171</v>
      </c>
      <c r="F105" s="7" t="s">
        <v>53</v>
      </c>
      <c r="G105" s="8" t="s">
        <v>115</v>
      </c>
      <c r="H105" s="8" t="s">
        <v>116</v>
      </c>
      <c r="I105" s="7">
        <v>80</v>
      </c>
      <c r="J105" s="7"/>
      <c r="K105" s="7"/>
      <c r="L105" s="8" t="s">
        <v>124</v>
      </c>
      <c r="M105" s="8" t="s">
        <v>179</v>
      </c>
      <c r="N105" s="7" t="s">
        <v>52</v>
      </c>
      <c r="O105" s="7">
        <v>55</v>
      </c>
      <c r="P105" s="7">
        <v>26.26</v>
      </c>
      <c r="Q105" s="7"/>
      <c r="R105" s="7">
        <v>123</v>
      </c>
      <c r="S105" s="7">
        <v>153</v>
      </c>
      <c r="T105" s="7">
        <v>139</v>
      </c>
      <c r="U105" s="7"/>
      <c r="V105" s="8"/>
      <c r="W105" s="9">
        <f t="shared" si="1"/>
        <v>55</v>
      </c>
    </row>
    <row r="106" spans="1:23" ht="18.649999999999999" customHeight="1" x14ac:dyDescent="0.35">
      <c r="A106" s="6">
        <v>46121</v>
      </c>
      <c r="B106" s="7" t="s">
        <v>62</v>
      </c>
      <c r="C106" s="7">
        <v>10</v>
      </c>
      <c r="D106" s="6">
        <v>46118</v>
      </c>
      <c r="E106" s="8" t="s">
        <v>171</v>
      </c>
      <c r="F106" s="7" t="s">
        <v>39</v>
      </c>
      <c r="G106" s="8" t="s">
        <v>64</v>
      </c>
      <c r="H106" s="8" t="s">
        <v>41</v>
      </c>
      <c r="I106" s="7">
        <v>20</v>
      </c>
      <c r="J106" s="7"/>
      <c r="K106" s="7"/>
      <c r="L106" s="8" t="s">
        <v>42</v>
      </c>
      <c r="M106" s="8" t="s">
        <v>65</v>
      </c>
      <c r="N106" s="7" t="s">
        <v>52</v>
      </c>
      <c r="O106" s="7">
        <v>20</v>
      </c>
      <c r="P106" s="7">
        <v>3.37</v>
      </c>
      <c r="Q106" s="7"/>
      <c r="R106" s="7">
        <v>132</v>
      </c>
      <c r="S106" s="7">
        <v>164</v>
      </c>
      <c r="T106" s="7"/>
      <c r="U106" s="7"/>
      <c r="V106" s="8"/>
      <c r="W106" s="9">
        <f t="shared" si="1"/>
        <v>20</v>
      </c>
    </row>
    <row r="107" spans="1:23" ht="18.649999999999999" customHeight="1" x14ac:dyDescent="0.35">
      <c r="A107" s="6">
        <v>46122</v>
      </c>
      <c r="B107" s="7" t="s">
        <v>66</v>
      </c>
      <c r="C107" s="7">
        <v>10</v>
      </c>
      <c r="D107" s="6">
        <v>46118</v>
      </c>
      <c r="E107" s="8" t="s">
        <v>171</v>
      </c>
      <c r="F107" s="7" t="s">
        <v>46</v>
      </c>
      <c r="G107" s="8" t="s">
        <v>67</v>
      </c>
      <c r="H107" s="8" t="s">
        <v>68</v>
      </c>
      <c r="I107" s="7">
        <v>45</v>
      </c>
      <c r="J107" s="7">
        <v>1800</v>
      </c>
      <c r="K107" s="7" t="s">
        <v>49</v>
      </c>
      <c r="L107" s="8" t="s">
        <v>42</v>
      </c>
      <c r="M107" s="8" t="s">
        <v>69</v>
      </c>
      <c r="N107" s="7" t="s">
        <v>72</v>
      </c>
      <c r="O107" s="7"/>
      <c r="P107" s="7"/>
      <c r="Q107" s="7"/>
      <c r="R107" s="7"/>
      <c r="S107" s="7"/>
      <c r="T107" s="7"/>
      <c r="U107" s="7"/>
      <c r="V107" s="8"/>
      <c r="W107" s="9">
        <f t="shared" si="1"/>
        <v>0</v>
      </c>
    </row>
    <row r="108" spans="1:23" ht="18.649999999999999" customHeight="1" x14ac:dyDescent="0.35">
      <c r="A108" s="6">
        <v>46122</v>
      </c>
      <c r="B108" s="7" t="s">
        <v>66</v>
      </c>
      <c r="C108" s="7">
        <v>10</v>
      </c>
      <c r="D108" s="6">
        <v>46118</v>
      </c>
      <c r="E108" s="8" t="s">
        <v>171</v>
      </c>
      <c r="F108" s="7" t="s">
        <v>34</v>
      </c>
      <c r="G108" s="8" t="s">
        <v>70</v>
      </c>
      <c r="H108" s="8" t="s">
        <v>34</v>
      </c>
      <c r="I108" s="7">
        <v>35</v>
      </c>
      <c r="J108" s="7"/>
      <c r="K108" s="7"/>
      <c r="L108" s="8" t="s">
        <v>36</v>
      </c>
      <c r="M108" s="8" t="s">
        <v>71</v>
      </c>
      <c r="N108" s="7" t="s">
        <v>72</v>
      </c>
      <c r="O108" s="7"/>
      <c r="P108" s="7"/>
      <c r="Q108" s="7"/>
      <c r="R108" s="7"/>
      <c r="S108" s="7"/>
      <c r="T108" s="7"/>
      <c r="U108" s="7"/>
      <c r="V108" s="8"/>
      <c r="W108" s="9">
        <f t="shared" si="1"/>
        <v>0</v>
      </c>
    </row>
    <row r="109" spans="1:23" ht="18.649999999999999" customHeight="1" x14ac:dyDescent="0.35">
      <c r="A109" s="6">
        <v>46123</v>
      </c>
      <c r="B109" s="7" t="s">
        <v>73</v>
      </c>
      <c r="C109" s="7">
        <v>10</v>
      </c>
      <c r="D109" s="6">
        <v>46118</v>
      </c>
      <c r="E109" s="8" t="s">
        <v>171</v>
      </c>
      <c r="F109" s="7" t="s">
        <v>39</v>
      </c>
      <c r="G109" s="8" t="s">
        <v>74</v>
      </c>
      <c r="H109" s="8" t="s">
        <v>41</v>
      </c>
      <c r="I109" s="7">
        <v>110</v>
      </c>
      <c r="J109" s="7"/>
      <c r="K109" s="7"/>
      <c r="L109" s="8" t="s">
        <v>180</v>
      </c>
      <c r="M109" s="8" t="s">
        <v>181</v>
      </c>
      <c r="N109" s="7" t="s">
        <v>52</v>
      </c>
      <c r="O109" s="7">
        <v>110</v>
      </c>
      <c r="P109" s="7">
        <v>16.7</v>
      </c>
      <c r="Q109" s="7"/>
      <c r="R109" s="7">
        <v>145</v>
      </c>
      <c r="S109" s="7">
        <v>167</v>
      </c>
      <c r="T109" s="7"/>
      <c r="U109" s="7"/>
      <c r="V109" s="8"/>
      <c r="W109" s="9">
        <f t="shared" si="1"/>
        <v>110</v>
      </c>
    </row>
    <row r="110" spans="1:23" ht="18.649999999999999" customHeight="1" x14ac:dyDescent="0.35">
      <c r="A110" s="6">
        <v>46124</v>
      </c>
      <c r="B110" s="7" t="s">
        <v>77</v>
      </c>
      <c r="C110" s="7">
        <v>10</v>
      </c>
      <c r="D110" s="6">
        <v>46118</v>
      </c>
      <c r="E110" s="8" t="s">
        <v>171</v>
      </c>
      <c r="F110" s="7" t="s">
        <v>53</v>
      </c>
      <c r="G110" s="8" t="s">
        <v>119</v>
      </c>
      <c r="H110" s="8" t="s">
        <v>87</v>
      </c>
      <c r="I110" s="7">
        <v>230</v>
      </c>
      <c r="J110" s="7"/>
      <c r="K110" s="7"/>
      <c r="L110" s="8" t="s">
        <v>128</v>
      </c>
      <c r="M110" s="8" t="s">
        <v>182</v>
      </c>
      <c r="N110" s="7" t="s">
        <v>52</v>
      </c>
      <c r="O110" s="7">
        <v>223</v>
      </c>
      <c r="P110" s="7">
        <v>103</v>
      </c>
      <c r="Q110" s="7"/>
      <c r="R110" s="7">
        <v>132</v>
      </c>
      <c r="S110" s="7">
        <v>171</v>
      </c>
      <c r="T110" s="7"/>
      <c r="U110" s="7"/>
      <c r="V110" s="8"/>
      <c r="W110" s="9">
        <f t="shared" si="1"/>
        <v>223</v>
      </c>
    </row>
    <row r="111" spans="1:23" ht="18.649999999999999" customHeight="1" x14ac:dyDescent="0.35">
      <c r="A111" s="6">
        <v>46125</v>
      </c>
      <c r="B111" s="7" t="s">
        <v>32</v>
      </c>
      <c r="C111" s="7">
        <v>11</v>
      </c>
      <c r="D111" s="6">
        <v>46125</v>
      </c>
      <c r="E111" s="8" t="s">
        <v>171</v>
      </c>
      <c r="F111" s="7" t="s">
        <v>34</v>
      </c>
      <c r="G111" s="8" t="s">
        <v>35</v>
      </c>
      <c r="H111" s="8" t="s">
        <v>34</v>
      </c>
      <c r="I111" s="7">
        <v>45</v>
      </c>
      <c r="J111" s="7"/>
      <c r="K111" s="7"/>
      <c r="L111" s="8" t="s">
        <v>36</v>
      </c>
      <c r="M111" s="8" t="s">
        <v>37</v>
      </c>
      <c r="N111" s="7" t="s">
        <v>52</v>
      </c>
      <c r="O111" s="7">
        <v>45</v>
      </c>
      <c r="P111" s="7"/>
      <c r="Q111" s="7"/>
      <c r="R111" s="7">
        <v>91</v>
      </c>
      <c r="S111" s="7">
        <v>147</v>
      </c>
      <c r="T111" s="7"/>
      <c r="U111" s="7"/>
      <c r="V111" s="8"/>
      <c r="W111" s="9">
        <f t="shared" si="1"/>
        <v>45</v>
      </c>
    </row>
    <row r="112" spans="1:23" ht="18.649999999999999" customHeight="1" x14ac:dyDescent="0.35">
      <c r="A112" s="6">
        <v>46125</v>
      </c>
      <c r="B112" s="7" t="s">
        <v>32</v>
      </c>
      <c r="C112" s="7">
        <v>11</v>
      </c>
      <c r="D112" s="6">
        <v>46125</v>
      </c>
      <c r="E112" s="8" t="s">
        <v>171</v>
      </c>
      <c r="F112" s="7" t="s">
        <v>39</v>
      </c>
      <c r="G112" s="8" t="s">
        <v>40</v>
      </c>
      <c r="H112" s="8" t="s">
        <v>41</v>
      </c>
      <c r="I112" s="7">
        <v>40</v>
      </c>
      <c r="J112" s="7"/>
      <c r="K112" s="7"/>
      <c r="L112" s="8" t="s">
        <v>42</v>
      </c>
      <c r="M112" s="8" t="s">
        <v>43</v>
      </c>
      <c r="N112" s="7" t="s">
        <v>72</v>
      </c>
      <c r="O112" s="7"/>
      <c r="P112" s="7"/>
      <c r="Q112" s="7"/>
      <c r="R112" s="7"/>
      <c r="S112" s="7"/>
      <c r="T112" s="7"/>
      <c r="U112" s="7"/>
      <c r="V112" s="8"/>
      <c r="W112" s="9">
        <f t="shared" si="1"/>
        <v>0</v>
      </c>
    </row>
    <row r="113" spans="1:23" ht="18.649999999999999" customHeight="1" x14ac:dyDescent="0.35">
      <c r="A113" s="6">
        <v>46126</v>
      </c>
      <c r="B113" s="7" t="s">
        <v>45</v>
      </c>
      <c r="C113" s="7">
        <v>11</v>
      </c>
      <c r="D113" s="6">
        <v>46125</v>
      </c>
      <c r="E113" s="8" t="s">
        <v>171</v>
      </c>
      <c r="F113" s="7" t="s">
        <v>46</v>
      </c>
      <c r="G113" s="8" t="s">
        <v>47</v>
      </c>
      <c r="H113" s="8" t="s">
        <v>48</v>
      </c>
      <c r="I113" s="7">
        <v>45</v>
      </c>
      <c r="J113" s="7">
        <v>2000</v>
      </c>
      <c r="K113" s="7" t="s">
        <v>49</v>
      </c>
      <c r="L113" s="8" t="s">
        <v>50</v>
      </c>
      <c r="M113" s="8" t="s">
        <v>51</v>
      </c>
      <c r="N113" s="7" t="s">
        <v>52</v>
      </c>
      <c r="O113" s="7">
        <v>32</v>
      </c>
      <c r="P113" s="7">
        <v>1575</v>
      </c>
      <c r="Q113" s="7"/>
      <c r="R113" s="7">
        <v>132</v>
      </c>
      <c r="S113" s="7">
        <v>159</v>
      </c>
      <c r="T113" s="7"/>
      <c r="U113" s="7"/>
      <c r="V113" s="8"/>
      <c r="W113" s="9">
        <f t="shared" si="1"/>
        <v>32</v>
      </c>
    </row>
    <row r="114" spans="1:23" ht="18.649999999999999" customHeight="1" x14ac:dyDescent="0.35">
      <c r="A114" s="6">
        <v>46126</v>
      </c>
      <c r="B114" s="7" t="s">
        <v>45</v>
      </c>
      <c r="C114" s="7">
        <v>11</v>
      </c>
      <c r="D114" s="6">
        <v>46125</v>
      </c>
      <c r="E114" s="8" t="s">
        <v>171</v>
      </c>
      <c r="F114" s="7" t="s">
        <v>53</v>
      </c>
      <c r="G114" s="8" t="s">
        <v>54</v>
      </c>
      <c r="H114" s="8" t="s">
        <v>41</v>
      </c>
      <c r="I114" s="7">
        <v>60</v>
      </c>
      <c r="J114" s="7"/>
      <c r="K114" s="7"/>
      <c r="L114" s="8" t="s">
        <v>55</v>
      </c>
      <c r="M114" s="8" t="s">
        <v>56</v>
      </c>
      <c r="N114" s="7" t="s">
        <v>72</v>
      </c>
      <c r="O114" s="7"/>
      <c r="P114" s="7"/>
      <c r="Q114" s="7"/>
      <c r="R114" s="7"/>
      <c r="S114" s="7"/>
      <c r="T114" s="7"/>
      <c r="U114" s="7"/>
      <c r="V114" s="8"/>
      <c r="W114" s="9">
        <f t="shared" si="1"/>
        <v>0</v>
      </c>
    </row>
    <row r="115" spans="1:23" ht="18.649999999999999" customHeight="1" x14ac:dyDescent="0.35">
      <c r="A115" s="6">
        <v>46127</v>
      </c>
      <c r="B115" s="7" t="s">
        <v>57</v>
      </c>
      <c r="C115" s="7">
        <v>11</v>
      </c>
      <c r="D115" s="6">
        <v>46125</v>
      </c>
      <c r="E115" s="8" t="s">
        <v>171</v>
      </c>
      <c r="F115" s="7" t="s">
        <v>39</v>
      </c>
      <c r="G115" s="8" t="s">
        <v>183</v>
      </c>
      <c r="H115" s="8" t="s">
        <v>87</v>
      </c>
      <c r="I115" s="7">
        <v>70</v>
      </c>
      <c r="J115" s="7"/>
      <c r="K115" s="7"/>
      <c r="L115" s="8" t="s">
        <v>113</v>
      </c>
      <c r="M115" s="8" t="s">
        <v>184</v>
      </c>
      <c r="N115" s="7" t="s">
        <v>52</v>
      </c>
      <c r="O115" s="7">
        <v>60</v>
      </c>
      <c r="P115" s="7">
        <v>10.07</v>
      </c>
      <c r="Q115" s="7"/>
      <c r="R115" s="7">
        <v>148</v>
      </c>
      <c r="S115" s="7">
        <v>168</v>
      </c>
      <c r="T115" s="7"/>
      <c r="U115" s="7"/>
      <c r="V115" s="8"/>
      <c r="W115" s="9">
        <f t="shared" si="1"/>
        <v>60</v>
      </c>
    </row>
    <row r="116" spans="1:23" ht="18.649999999999999" customHeight="1" x14ac:dyDescent="0.35">
      <c r="A116" s="6">
        <v>46128</v>
      </c>
      <c r="B116" s="7" t="s">
        <v>62</v>
      </c>
      <c r="C116" s="7">
        <v>11</v>
      </c>
      <c r="D116" s="6">
        <v>46125</v>
      </c>
      <c r="E116" s="8" t="s">
        <v>171</v>
      </c>
      <c r="F116" s="7" t="s">
        <v>53</v>
      </c>
      <c r="G116" s="8" t="s">
        <v>115</v>
      </c>
      <c r="H116" s="8" t="s">
        <v>116</v>
      </c>
      <c r="I116" s="7">
        <v>80</v>
      </c>
      <c r="J116" s="7"/>
      <c r="K116" s="7"/>
      <c r="L116" s="8" t="s">
        <v>185</v>
      </c>
      <c r="M116" s="8" t="s">
        <v>186</v>
      </c>
      <c r="N116" s="7" t="s">
        <v>52</v>
      </c>
      <c r="O116" s="7">
        <v>60</v>
      </c>
      <c r="P116" s="7">
        <v>33.08</v>
      </c>
      <c r="Q116" s="7"/>
      <c r="R116" s="7">
        <v>150</v>
      </c>
      <c r="S116" s="7">
        <v>180</v>
      </c>
      <c r="T116" s="7">
        <v>168</v>
      </c>
      <c r="U116" s="7"/>
      <c r="V116" s="8"/>
      <c r="W116" s="9">
        <f t="shared" si="1"/>
        <v>60</v>
      </c>
    </row>
    <row r="117" spans="1:23" ht="18.649999999999999" customHeight="1" x14ac:dyDescent="0.35">
      <c r="A117" s="6">
        <v>46128</v>
      </c>
      <c r="B117" s="7" t="s">
        <v>62</v>
      </c>
      <c r="C117" s="7">
        <v>11</v>
      </c>
      <c r="D117" s="6">
        <v>46125</v>
      </c>
      <c r="E117" s="8" t="s">
        <v>171</v>
      </c>
      <c r="F117" s="7" t="s">
        <v>39</v>
      </c>
      <c r="G117" s="8" t="s">
        <v>64</v>
      </c>
      <c r="H117" s="8" t="s">
        <v>41</v>
      </c>
      <c r="I117" s="7">
        <v>20</v>
      </c>
      <c r="J117" s="7"/>
      <c r="K117" s="7"/>
      <c r="L117" s="8" t="s">
        <v>42</v>
      </c>
      <c r="M117" s="8" t="s">
        <v>65</v>
      </c>
      <c r="N117" s="7" t="s">
        <v>52</v>
      </c>
      <c r="O117" s="7">
        <v>30</v>
      </c>
      <c r="P117" s="7">
        <v>4.87</v>
      </c>
      <c r="Q117" s="7"/>
      <c r="R117" s="7">
        <v>153</v>
      </c>
      <c r="S117" s="7">
        <v>163</v>
      </c>
      <c r="T117" s="7"/>
      <c r="U117" s="7"/>
      <c r="V117" s="8"/>
      <c r="W117" s="9">
        <f t="shared" si="1"/>
        <v>30</v>
      </c>
    </row>
    <row r="118" spans="1:23" ht="18.649999999999999" customHeight="1" x14ac:dyDescent="0.35">
      <c r="A118" s="6">
        <v>46129</v>
      </c>
      <c r="B118" s="7" t="s">
        <v>66</v>
      </c>
      <c r="C118" s="7">
        <v>11</v>
      </c>
      <c r="D118" s="6">
        <v>46125</v>
      </c>
      <c r="E118" s="8" t="s">
        <v>171</v>
      </c>
      <c r="F118" s="7" t="s">
        <v>46</v>
      </c>
      <c r="G118" s="8" t="s">
        <v>67</v>
      </c>
      <c r="H118" s="8" t="s">
        <v>68</v>
      </c>
      <c r="I118" s="7">
        <v>45</v>
      </c>
      <c r="J118" s="7">
        <v>1800</v>
      </c>
      <c r="K118" s="7" t="s">
        <v>49</v>
      </c>
      <c r="L118" s="8" t="s">
        <v>42</v>
      </c>
      <c r="M118" s="8" t="s">
        <v>69</v>
      </c>
      <c r="N118" s="7" t="s">
        <v>72</v>
      </c>
      <c r="O118" s="7"/>
      <c r="P118" s="7"/>
      <c r="Q118" s="7"/>
      <c r="R118" s="7"/>
      <c r="S118" s="7"/>
      <c r="T118" s="7"/>
      <c r="U118" s="7"/>
      <c r="V118" s="8"/>
      <c r="W118" s="9">
        <f t="shared" si="1"/>
        <v>0</v>
      </c>
    </row>
    <row r="119" spans="1:23" ht="18.649999999999999" customHeight="1" x14ac:dyDescent="0.35">
      <c r="A119" s="6">
        <v>46129</v>
      </c>
      <c r="B119" s="7" t="s">
        <v>66</v>
      </c>
      <c r="C119" s="7">
        <v>11</v>
      </c>
      <c r="D119" s="6">
        <v>46125</v>
      </c>
      <c r="E119" s="8" t="s">
        <v>171</v>
      </c>
      <c r="F119" s="7" t="s">
        <v>34</v>
      </c>
      <c r="G119" s="8" t="s">
        <v>70</v>
      </c>
      <c r="H119" s="8" t="s">
        <v>34</v>
      </c>
      <c r="I119" s="7">
        <v>35</v>
      </c>
      <c r="J119" s="7"/>
      <c r="K119" s="7"/>
      <c r="L119" s="8" t="s">
        <v>36</v>
      </c>
      <c r="M119" s="8" t="s">
        <v>71</v>
      </c>
      <c r="N119" s="7" t="s">
        <v>72</v>
      </c>
      <c r="O119" s="7"/>
      <c r="P119" s="7"/>
      <c r="Q119" s="7"/>
      <c r="R119" s="7"/>
      <c r="S119" s="7"/>
      <c r="T119" s="7"/>
      <c r="U119" s="7"/>
      <c r="V119" s="8"/>
      <c r="W119" s="9">
        <f t="shared" si="1"/>
        <v>0</v>
      </c>
    </row>
    <row r="120" spans="1:23" ht="18.649999999999999" customHeight="1" x14ac:dyDescent="0.35">
      <c r="A120" s="6">
        <v>46130</v>
      </c>
      <c r="B120" s="7" t="s">
        <v>73</v>
      </c>
      <c r="C120" s="7">
        <v>11</v>
      </c>
      <c r="D120" s="6">
        <v>46125</v>
      </c>
      <c r="E120" s="8" t="s">
        <v>171</v>
      </c>
      <c r="F120" s="7" t="s">
        <v>39</v>
      </c>
      <c r="G120" s="8" t="s">
        <v>74</v>
      </c>
      <c r="H120" s="8" t="s">
        <v>41</v>
      </c>
      <c r="I120" s="7">
        <v>115</v>
      </c>
      <c r="J120" s="7"/>
      <c r="K120" s="7"/>
      <c r="L120" s="8" t="s">
        <v>42</v>
      </c>
      <c r="M120" s="8" t="s">
        <v>75</v>
      </c>
      <c r="N120" s="7" t="s">
        <v>52</v>
      </c>
      <c r="O120" s="7">
        <v>120</v>
      </c>
      <c r="P120" s="7">
        <v>17.649999999999999</v>
      </c>
      <c r="Q120" s="7"/>
      <c r="R120" s="7">
        <v>148</v>
      </c>
      <c r="S120" s="7">
        <v>176</v>
      </c>
      <c r="T120" s="7"/>
      <c r="U120" s="7"/>
      <c r="V120" s="8" t="s">
        <v>187</v>
      </c>
      <c r="W120" s="9">
        <f t="shared" si="1"/>
        <v>120</v>
      </c>
    </row>
    <row r="121" spans="1:23" ht="18.649999999999999" customHeight="1" x14ac:dyDescent="0.35">
      <c r="A121" s="6">
        <v>46131</v>
      </c>
      <c r="B121" s="7" t="s">
        <v>77</v>
      </c>
      <c r="C121" s="7">
        <v>11</v>
      </c>
      <c r="D121" s="6">
        <v>46125</v>
      </c>
      <c r="E121" s="8" t="s">
        <v>171</v>
      </c>
      <c r="F121" s="7" t="s">
        <v>53</v>
      </c>
      <c r="G121" s="8" t="s">
        <v>119</v>
      </c>
      <c r="H121" s="8" t="s">
        <v>87</v>
      </c>
      <c r="I121" s="7">
        <v>240</v>
      </c>
      <c r="J121" s="7"/>
      <c r="K121" s="7"/>
      <c r="L121" s="8" t="s">
        <v>188</v>
      </c>
      <c r="M121" s="8" t="s">
        <v>189</v>
      </c>
      <c r="N121" s="7" t="s">
        <v>72</v>
      </c>
      <c r="O121" s="7"/>
      <c r="P121" s="7"/>
      <c r="Q121" s="7"/>
      <c r="R121" s="7"/>
      <c r="S121" s="7"/>
      <c r="T121" s="7"/>
      <c r="U121" s="7"/>
      <c r="V121" s="8"/>
      <c r="W121" s="9">
        <f t="shared" si="1"/>
        <v>0</v>
      </c>
    </row>
    <row r="122" spans="1:23" ht="18.649999999999999" customHeight="1" x14ac:dyDescent="0.35">
      <c r="A122" s="6">
        <v>46132</v>
      </c>
      <c r="B122" s="7" t="s">
        <v>32</v>
      </c>
      <c r="C122" s="7">
        <v>12</v>
      </c>
      <c r="D122" s="6">
        <v>46132</v>
      </c>
      <c r="E122" s="8" t="s">
        <v>190</v>
      </c>
      <c r="F122" s="7" t="s">
        <v>34</v>
      </c>
      <c r="G122" s="8" t="s">
        <v>35</v>
      </c>
      <c r="H122" s="8" t="s">
        <v>34</v>
      </c>
      <c r="I122" s="7">
        <v>45</v>
      </c>
      <c r="J122" s="7"/>
      <c r="K122" s="7"/>
      <c r="L122" s="8" t="s">
        <v>36</v>
      </c>
      <c r="M122" s="8" t="s">
        <v>37</v>
      </c>
      <c r="N122" s="7" t="s">
        <v>52</v>
      </c>
      <c r="O122" s="7">
        <v>44</v>
      </c>
      <c r="P122" s="7"/>
      <c r="Q122" s="7"/>
      <c r="R122" s="7">
        <v>89</v>
      </c>
      <c r="S122" s="7">
        <v>153</v>
      </c>
      <c r="T122" s="7"/>
      <c r="U122" s="7"/>
      <c r="V122" s="8"/>
      <c r="W122" s="9">
        <f t="shared" si="1"/>
        <v>44</v>
      </c>
    </row>
    <row r="123" spans="1:23" ht="18.649999999999999" customHeight="1" x14ac:dyDescent="0.35">
      <c r="A123" s="6">
        <v>46132</v>
      </c>
      <c r="B123" s="7" t="s">
        <v>32</v>
      </c>
      <c r="C123" s="7">
        <v>12</v>
      </c>
      <c r="D123" s="6">
        <v>46132</v>
      </c>
      <c r="E123" s="8" t="s">
        <v>190</v>
      </c>
      <c r="F123" s="7" t="s">
        <v>39</v>
      </c>
      <c r="G123" s="8" t="s">
        <v>40</v>
      </c>
      <c r="H123" s="8" t="s">
        <v>41</v>
      </c>
      <c r="I123" s="7">
        <v>30</v>
      </c>
      <c r="J123" s="7"/>
      <c r="K123" s="7"/>
      <c r="L123" s="8" t="s">
        <v>42</v>
      </c>
      <c r="M123" s="8" t="s">
        <v>43</v>
      </c>
      <c r="N123" s="7" t="s">
        <v>72</v>
      </c>
      <c r="O123" s="7"/>
      <c r="P123" s="7"/>
      <c r="Q123" s="7"/>
      <c r="R123" s="7"/>
      <c r="S123" s="7"/>
      <c r="T123" s="7"/>
      <c r="U123" s="7"/>
      <c r="V123" s="8"/>
      <c r="W123" s="9">
        <f t="shared" si="1"/>
        <v>0</v>
      </c>
    </row>
    <row r="124" spans="1:23" ht="18.649999999999999" customHeight="1" x14ac:dyDescent="0.35">
      <c r="A124" s="6">
        <v>46133</v>
      </c>
      <c r="B124" s="7" t="s">
        <v>45</v>
      </c>
      <c r="C124" s="7">
        <v>12</v>
      </c>
      <c r="D124" s="6">
        <v>46132</v>
      </c>
      <c r="E124" s="8" t="s">
        <v>190</v>
      </c>
      <c r="F124" s="7" t="s">
        <v>46</v>
      </c>
      <c r="G124" s="8" t="s">
        <v>140</v>
      </c>
      <c r="H124" s="8" t="s">
        <v>94</v>
      </c>
      <c r="I124" s="7">
        <v>40</v>
      </c>
      <c r="J124" s="7">
        <v>1600</v>
      </c>
      <c r="K124" s="7" t="s">
        <v>49</v>
      </c>
      <c r="L124" s="8" t="s">
        <v>95</v>
      </c>
      <c r="M124" s="8" t="s">
        <v>191</v>
      </c>
      <c r="N124" s="7" t="s">
        <v>52</v>
      </c>
      <c r="O124" s="7">
        <v>32</v>
      </c>
      <c r="P124" s="7">
        <v>1500</v>
      </c>
      <c r="Q124" s="7"/>
      <c r="R124" s="7">
        <v>138</v>
      </c>
      <c r="S124" s="7">
        <v>163</v>
      </c>
      <c r="T124" s="7"/>
      <c r="U124" s="7"/>
      <c r="V124" s="8"/>
      <c r="W124" s="9">
        <f t="shared" si="1"/>
        <v>32</v>
      </c>
    </row>
    <row r="125" spans="1:23" ht="18.649999999999999" customHeight="1" x14ac:dyDescent="0.35">
      <c r="A125" s="6">
        <v>46133</v>
      </c>
      <c r="B125" s="7" t="s">
        <v>45</v>
      </c>
      <c r="C125" s="7">
        <v>12</v>
      </c>
      <c r="D125" s="6">
        <v>46132</v>
      </c>
      <c r="E125" s="8" t="s">
        <v>190</v>
      </c>
      <c r="F125" s="7" t="s">
        <v>53</v>
      </c>
      <c r="G125" s="8" t="s">
        <v>97</v>
      </c>
      <c r="H125" s="8" t="s">
        <v>94</v>
      </c>
      <c r="I125" s="7">
        <v>55</v>
      </c>
      <c r="J125" s="7"/>
      <c r="K125" s="7"/>
      <c r="L125" s="8" t="s">
        <v>95</v>
      </c>
      <c r="M125" s="8" t="s">
        <v>192</v>
      </c>
      <c r="N125" s="7" t="s">
        <v>72</v>
      </c>
      <c r="O125" s="7"/>
      <c r="P125" s="7"/>
      <c r="Q125" s="7"/>
      <c r="R125" s="7"/>
      <c r="S125" s="7"/>
      <c r="T125" s="7"/>
      <c r="U125" s="7"/>
      <c r="V125" s="8"/>
      <c r="W125" s="9">
        <f t="shared" si="1"/>
        <v>0</v>
      </c>
    </row>
    <row r="126" spans="1:23" ht="18.649999999999999" customHeight="1" x14ac:dyDescent="0.35">
      <c r="A126" s="6">
        <v>46134</v>
      </c>
      <c r="B126" s="7" t="s">
        <v>57</v>
      </c>
      <c r="C126" s="7">
        <v>12</v>
      </c>
      <c r="D126" s="6">
        <v>46132</v>
      </c>
      <c r="E126" s="8" t="s">
        <v>190</v>
      </c>
      <c r="F126" s="7" t="s">
        <v>39</v>
      </c>
      <c r="G126" s="8" t="s">
        <v>58</v>
      </c>
      <c r="H126" s="8" t="s">
        <v>94</v>
      </c>
      <c r="I126" s="7">
        <v>45</v>
      </c>
      <c r="J126" s="7"/>
      <c r="K126" s="7"/>
      <c r="L126" s="8" t="s">
        <v>42</v>
      </c>
      <c r="M126" s="8" t="s">
        <v>193</v>
      </c>
      <c r="N126" s="7" t="s">
        <v>72</v>
      </c>
      <c r="O126" s="7"/>
      <c r="P126" s="7"/>
      <c r="Q126" s="7"/>
      <c r="R126" s="7"/>
      <c r="S126" s="7"/>
      <c r="T126" s="7"/>
      <c r="U126" s="7"/>
      <c r="V126" s="8"/>
      <c r="W126" s="9">
        <f t="shared" si="1"/>
        <v>0</v>
      </c>
    </row>
    <row r="127" spans="1:23" ht="18.649999999999999" customHeight="1" x14ac:dyDescent="0.35">
      <c r="A127" s="6">
        <v>46135</v>
      </c>
      <c r="B127" s="7" t="s">
        <v>62</v>
      </c>
      <c r="C127" s="7">
        <v>12</v>
      </c>
      <c r="D127" s="6">
        <v>46132</v>
      </c>
      <c r="E127" s="8" t="s">
        <v>190</v>
      </c>
      <c r="F127" s="7" t="s">
        <v>53</v>
      </c>
      <c r="G127" s="8" t="s">
        <v>54</v>
      </c>
      <c r="H127" s="8" t="s">
        <v>94</v>
      </c>
      <c r="I127" s="7">
        <v>60</v>
      </c>
      <c r="J127" s="7"/>
      <c r="K127" s="7"/>
      <c r="L127" s="8" t="s">
        <v>42</v>
      </c>
      <c r="M127" s="8" t="s">
        <v>192</v>
      </c>
      <c r="N127" s="7" t="s">
        <v>72</v>
      </c>
      <c r="O127" s="7"/>
      <c r="P127" s="7"/>
      <c r="Q127" s="7"/>
      <c r="R127" s="7"/>
      <c r="S127" s="7"/>
      <c r="T127" s="7"/>
      <c r="U127" s="7"/>
      <c r="V127" s="8"/>
      <c r="W127" s="9">
        <f t="shared" si="1"/>
        <v>0</v>
      </c>
    </row>
    <row r="128" spans="1:23" ht="18.649999999999999" customHeight="1" x14ac:dyDescent="0.35">
      <c r="A128" s="6">
        <v>46135</v>
      </c>
      <c r="B128" s="7" t="s">
        <v>62</v>
      </c>
      <c r="C128" s="7">
        <v>12</v>
      </c>
      <c r="D128" s="6">
        <v>46132</v>
      </c>
      <c r="E128" s="8" t="s">
        <v>190</v>
      </c>
      <c r="F128" s="7" t="s">
        <v>39</v>
      </c>
      <c r="G128" s="8" t="s">
        <v>102</v>
      </c>
      <c r="H128" s="8" t="s">
        <v>94</v>
      </c>
      <c r="I128" s="7">
        <v>15</v>
      </c>
      <c r="J128" s="7"/>
      <c r="K128" s="7"/>
      <c r="L128" s="8" t="s">
        <v>95</v>
      </c>
      <c r="M128" s="8" t="s">
        <v>192</v>
      </c>
      <c r="N128" s="7" t="s">
        <v>72</v>
      </c>
      <c r="O128" s="7"/>
      <c r="P128" s="7"/>
      <c r="Q128" s="7"/>
      <c r="R128" s="7"/>
      <c r="S128" s="7"/>
      <c r="T128" s="7"/>
      <c r="U128" s="7"/>
      <c r="V128" s="8"/>
      <c r="W128" s="9">
        <f t="shared" si="1"/>
        <v>0</v>
      </c>
    </row>
    <row r="129" spans="1:23" ht="18.649999999999999" customHeight="1" x14ac:dyDescent="0.35">
      <c r="A129" s="6">
        <v>46136</v>
      </c>
      <c r="B129" s="7" t="s">
        <v>66</v>
      </c>
      <c r="C129" s="7">
        <v>12</v>
      </c>
      <c r="D129" s="6">
        <v>46132</v>
      </c>
      <c r="E129" s="8" t="s">
        <v>190</v>
      </c>
      <c r="F129" s="7" t="s">
        <v>46</v>
      </c>
      <c r="G129" s="8" t="s">
        <v>194</v>
      </c>
      <c r="H129" s="8" t="s">
        <v>94</v>
      </c>
      <c r="I129" s="7">
        <v>40</v>
      </c>
      <c r="J129" s="7">
        <v>1500</v>
      </c>
      <c r="K129" s="7" t="s">
        <v>49</v>
      </c>
      <c r="L129" s="8" t="s">
        <v>95</v>
      </c>
      <c r="M129" s="8" t="s">
        <v>192</v>
      </c>
      <c r="N129" s="7" t="s">
        <v>72</v>
      </c>
      <c r="O129" s="7"/>
      <c r="P129" s="7"/>
      <c r="Q129" s="7"/>
      <c r="R129" s="7"/>
      <c r="S129" s="7"/>
      <c r="T129" s="7"/>
      <c r="U129" s="7"/>
      <c r="V129" s="8"/>
      <c r="W129" s="9">
        <f t="shared" si="1"/>
        <v>0</v>
      </c>
    </row>
    <row r="130" spans="1:23" ht="18.649999999999999" customHeight="1" x14ac:dyDescent="0.35">
      <c r="A130" s="6">
        <v>46136</v>
      </c>
      <c r="B130" s="7" t="s">
        <v>66</v>
      </c>
      <c r="C130" s="7">
        <v>12</v>
      </c>
      <c r="D130" s="6">
        <v>46132</v>
      </c>
      <c r="E130" s="8" t="s">
        <v>190</v>
      </c>
      <c r="F130" s="7" t="s">
        <v>34</v>
      </c>
      <c r="G130" s="8" t="s">
        <v>70</v>
      </c>
      <c r="H130" s="8" t="s">
        <v>34</v>
      </c>
      <c r="I130" s="7">
        <v>35</v>
      </c>
      <c r="J130" s="7"/>
      <c r="K130" s="7"/>
      <c r="L130" s="8" t="s">
        <v>36</v>
      </c>
      <c r="M130" s="8" t="s">
        <v>71</v>
      </c>
      <c r="N130" s="7" t="s">
        <v>72</v>
      </c>
      <c r="O130" s="7"/>
      <c r="P130" s="7"/>
      <c r="Q130" s="7"/>
      <c r="R130" s="7"/>
      <c r="S130" s="7"/>
      <c r="T130" s="7"/>
      <c r="U130" s="7"/>
      <c r="V130" s="8"/>
      <c r="W130" s="9">
        <f t="shared" ref="W130:W193" si="2">IF(OR($N130="Hecho",$N130="Parcial"),IF($O130="",0,$O130),0)</f>
        <v>0</v>
      </c>
    </row>
    <row r="131" spans="1:23" ht="18.649999999999999" customHeight="1" x14ac:dyDescent="0.35">
      <c r="A131" s="6">
        <v>46137</v>
      </c>
      <c r="B131" s="7" t="s">
        <v>73</v>
      </c>
      <c r="C131" s="7">
        <v>12</v>
      </c>
      <c r="D131" s="6">
        <v>46132</v>
      </c>
      <c r="E131" s="8" t="s">
        <v>190</v>
      </c>
      <c r="F131" s="7" t="s">
        <v>39</v>
      </c>
      <c r="G131" s="8" t="s">
        <v>74</v>
      </c>
      <c r="H131" s="8" t="s">
        <v>94</v>
      </c>
      <c r="I131" s="7">
        <v>90</v>
      </c>
      <c r="J131" s="7"/>
      <c r="K131" s="7"/>
      <c r="L131" s="8" t="s">
        <v>42</v>
      </c>
      <c r="M131" s="8" t="s">
        <v>192</v>
      </c>
      <c r="N131" s="7" t="s">
        <v>72</v>
      </c>
      <c r="O131" s="7"/>
      <c r="P131" s="7"/>
      <c r="Q131" s="7"/>
      <c r="R131" s="7"/>
      <c r="S131" s="7"/>
      <c r="T131" s="7"/>
      <c r="U131" s="7"/>
      <c r="V131" s="8"/>
      <c r="W131" s="9">
        <f t="shared" si="2"/>
        <v>0</v>
      </c>
    </row>
    <row r="132" spans="1:23" ht="18.649999999999999" customHeight="1" x14ac:dyDescent="0.35">
      <c r="A132" s="6">
        <v>46138</v>
      </c>
      <c r="B132" s="7" t="s">
        <v>77</v>
      </c>
      <c r="C132" s="7">
        <v>12</v>
      </c>
      <c r="D132" s="6">
        <v>46132</v>
      </c>
      <c r="E132" s="8" t="s">
        <v>190</v>
      </c>
      <c r="F132" s="7" t="s">
        <v>155</v>
      </c>
      <c r="G132" s="8" t="s">
        <v>156</v>
      </c>
      <c r="H132" s="8" t="s">
        <v>157</v>
      </c>
      <c r="I132" s="7">
        <v>150</v>
      </c>
      <c r="J132" s="7"/>
      <c r="K132" s="7"/>
      <c r="L132" s="8" t="s">
        <v>158</v>
      </c>
      <c r="M132" s="8" t="s">
        <v>159</v>
      </c>
      <c r="N132" s="7" t="s">
        <v>38</v>
      </c>
      <c r="O132" s="7">
        <v>167.1</v>
      </c>
      <c r="P132" s="7">
        <v>51.5</v>
      </c>
      <c r="Q132" s="7">
        <v>9</v>
      </c>
      <c r="R132" s="7"/>
      <c r="S132" s="7"/>
      <c r="T132" s="7"/>
      <c r="U132" s="7"/>
      <c r="V132" s="8" t="s">
        <v>383</v>
      </c>
      <c r="W132" s="9">
        <f t="shared" si="2"/>
        <v>167.1</v>
      </c>
    </row>
    <row r="133" spans="1:23" ht="18.649999999999999" customHeight="1" x14ac:dyDescent="0.35">
      <c r="A133" s="6">
        <v>46139</v>
      </c>
      <c r="B133" s="7" t="s">
        <v>32</v>
      </c>
      <c r="C133" s="7">
        <v>13</v>
      </c>
      <c r="D133" s="6">
        <v>46139</v>
      </c>
      <c r="E133" s="8" t="s">
        <v>195</v>
      </c>
      <c r="F133" s="7" t="s">
        <v>34</v>
      </c>
      <c r="G133" s="8" t="s">
        <v>35</v>
      </c>
      <c r="H133" s="8" t="s">
        <v>34</v>
      </c>
      <c r="I133" s="7">
        <v>45</v>
      </c>
      <c r="J133" s="7"/>
      <c r="K133" s="7"/>
      <c r="L133" s="8" t="s">
        <v>36</v>
      </c>
      <c r="M133" s="8" t="s">
        <v>37</v>
      </c>
      <c r="N133" s="7" t="s">
        <v>72</v>
      </c>
      <c r="O133" s="7"/>
      <c r="P133" s="7"/>
      <c r="Q133" s="7"/>
      <c r="R133" s="7"/>
      <c r="S133" s="7"/>
      <c r="T133" s="7"/>
      <c r="U133" s="7"/>
      <c r="V133" s="8"/>
      <c r="W133" s="9">
        <f t="shared" si="2"/>
        <v>0</v>
      </c>
    </row>
    <row r="134" spans="1:23" ht="18.649999999999999" customHeight="1" x14ac:dyDescent="0.35">
      <c r="A134" s="6">
        <v>46139</v>
      </c>
      <c r="B134" s="7" t="s">
        <v>32</v>
      </c>
      <c r="C134" s="7">
        <v>13</v>
      </c>
      <c r="D134" s="6">
        <v>46139</v>
      </c>
      <c r="E134" s="8" t="s">
        <v>195</v>
      </c>
      <c r="F134" s="7" t="s">
        <v>39</v>
      </c>
      <c r="G134" s="8" t="s">
        <v>40</v>
      </c>
      <c r="H134" s="8" t="s">
        <v>41</v>
      </c>
      <c r="I134" s="7">
        <v>40</v>
      </c>
      <c r="J134" s="7"/>
      <c r="K134" s="7"/>
      <c r="L134" s="8" t="s">
        <v>42</v>
      </c>
      <c r="M134" s="8" t="s">
        <v>43</v>
      </c>
      <c r="N134" s="7" t="s">
        <v>72</v>
      </c>
      <c r="O134" s="7"/>
      <c r="P134" s="7"/>
      <c r="Q134" s="7"/>
      <c r="R134" s="7"/>
      <c r="S134" s="7"/>
      <c r="T134" s="7"/>
      <c r="U134" s="7"/>
      <c r="V134" s="8"/>
      <c r="W134" s="9">
        <f t="shared" si="2"/>
        <v>0</v>
      </c>
    </row>
    <row r="135" spans="1:23" ht="18.649999999999999" customHeight="1" x14ac:dyDescent="0.35">
      <c r="A135" s="6">
        <v>46140</v>
      </c>
      <c r="B135" s="7" t="s">
        <v>45</v>
      </c>
      <c r="C135" s="7">
        <v>13</v>
      </c>
      <c r="D135" s="6">
        <v>46139</v>
      </c>
      <c r="E135" s="8" t="s">
        <v>195</v>
      </c>
      <c r="F135" s="7" t="s">
        <v>46</v>
      </c>
      <c r="G135" s="8" t="s">
        <v>47</v>
      </c>
      <c r="H135" s="8" t="s">
        <v>48</v>
      </c>
      <c r="I135" s="7">
        <v>45</v>
      </c>
      <c r="J135" s="7">
        <v>2000</v>
      </c>
      <c r="K135" s="7" t="s">
        <v>49</v>
      </c>
      <c r="L135" s="8" t="s">
        <v>50</v>
      </c>
      <c r="M135" s="8" t="s">
        <v>51</v>
      </c>
      <c r="N135" s="7" t="s">
        <v>72</v>
      </c>
      <c r="O135" s="7"/>
      <c r="P135" s="7"/>
      <c r="Q135" s="7"/>
      <c r="R135" s="7"/>
      <c r="S135" s="7"/>
      <c r="T135" s="7"/>
      <c r="U135" s="7"/>
      <c r="V135" s="8"/>
      <c r="W135" s="9">
        <f t="shared" si="2"/>
        <v>0</v>
      </c>
    </row>
    <row r="136" spans="1:23" ht="18.649999999999999" customHeight="1" x14ac:dyDescent="0.35">
      <c r="A136" s="6">
        <v>46140</v>
      </c>
      <c r="B136" s="7" t="s">
        <v>45</v>
      </c>
      <c r="C136" s="7">
        <v>13</v>
      </c>
      <c r="D136" s="6">
        <v>46139</v>
      </c>
      <c r="E136" s="8" t="s">
        <v>195</v>
      </c>
      <c r="F136" s="7" t="s">
        <v>53</v>
      </c>
      <c r="G136" s="8" t="s">
        <v>54</v>
      </c>
      <c r="H136" s="8" t="s">
        <v>41</v>
      </c>
      <c r="I136" s="7">
        <v>60</v>
      </c>
      <c r="J136" s="7"/>
      <c r="K136" s="7"/>
      <c r="L136" s="8" t="s">
        <v>55</v>
      </c>
      <c r="M136" s="8" t="s">
        <v>56</v>
      </c>
      <c r="N136" s="7" t="s">
        <v>72</v>
      </c>
      <c r="O136" s="7"/>
      <c r="P136" s="7"/>
      <c r="Q136" s="7"/>
      <c r="R136" s="7"/>
      <c r="S136" s="7"/>
      <c r="T136" s="7"/>
      <c r="U136" s="7"/>
      <c r="V136" s="8"/>
      <c r="W136" s="9">
        <f t="shared" si="2"/>
        <v>0</v>
      </c>
    </row>
    <row r="137" spans="1:23" ht="18.649999999999999" customHeight="1" x14ac:dyDescent="0.35">
      <c r="A137" s="6">
        <v>46141</v>
      </c>
      <c r="B137" s="7" t="s">
        <v>57</v>
      </c>
      <c r="C137" s="7">
        <v>13</v>
      </c>
      <c r="D137" s="6">
        <v>46139</v>
      </c>
      <c r="E137" s="8" t="s">
        <v>195</v>
      </c>
      <c r="F137" s="7" t="s">
        <v>39</v>
      </c>
      <c r="G137" s="8" t="s">
        <v>112</v>
      </c>
      <c r="H137" s="8" t="s">
        <v>87</v>
      </c>
      <c r="I137" s="7">
        <v>70</v>
      </c>
      <c r="J137" s="7"/>
      <c r="K137" s="7"/>
      <c r="L137" s="8" t="s">
        <v>113</v>
      </c>
      <c r="M137" s="8" t="s">
        <v>196</v>
      </c>
      <c r="N137" s="7" t="s">
        <v>72</v>
      </c>
      <c r="O137" s="7"/>
      <c r="P137" s="7"/>
      <c r="Q137" s="7"/>
      <c r="R137" s="7"/>
      <c r="S137" s="7"/>
      <c r="T137" s="7"/>
      <c r="U137" s="7"/>
      <c r="V137" s="8"/>
      <c r="W137" s="9">
        <f t="shared" si="2"/>
        <v>0</v>
      </c>
    </row>
    <row r="138" spans="1:23" ht="18.649999999999999" customHeight="1" x14ac:dyDescent="0.35">
      <c r="A138" s="6">
        <v>46142</v>
      </c>
      <c r="B138" s="7" t="s">
        <v>62</v>
      </c>
      <c r="C138" s="7">
        <v>13</v>
      </c>
      <c r="D138" s="6">
        <v>46139</v>
      </c>
      <c r="E138" s="8" t="s">
        <v>195</v>
      </c>
      <c r="F138" s="7" t="s">
        <v>53</v>
      </c>
      <c r="G138" s="8" t="s">
        <v>197</v>
      </c>
      <c r="H138" s="8" t="s">
        <v>198</v>
      </c>
      <c r="I138" s="7">
        <v>80</v>
      </c>
      <c r="J138" s="7"/>
      <c r="K138" s="7"/>
      <c r="L138" s="8" t="s">
        <v>199</v>
      </c>
      <c r="M138" s="8" t="s">
        <v>200</v>
      </c>
      <c r="N138" s="7" t="s">
        <v>72</v>
      </c>
      <c r="O138" s="7"/>
      <c r="P138" s="7"/>
      <c r="Q138" s="7"/>
      <c r="R138" s="7"/>
      <c r="S138" s="7"/>
      <c r="T138" s="7"/>
      <c r="U138" s="7"/>
      <c r="V138" s="8"/>
      <c r="W138" s="9">
        <f t="shared" si="2"/>
        <v>0</v>
      </c>
    </row>
    <row r="139" spans="1:23" ht="18.649999999999999" customHeight="1" x14ac:dyDescent="0.35">
      <c r="A139" s="6">
        <v>46142</v>
      </c>
      <c r="B139" s="7" t="s">
        <v>62</v>
      </c>
      <c r="C139" s="7">
        <v>13</v>
      </c>
      <c r="D139" s="6">
        <v>46139</v>
      </c>
      <c r="E139" s="8" t="s">
        <v>195</v>
      </c>
      <c r="F139" s="7" t="s">
        <v>39</v>
      </c>
      <c r="G139" s="8" t="s">
        <v>201</v>
      </c>
      <c r="H139" s="8" t="s">
        <v>198</v>
      </c>
      <c r="I139" s="7">
        <v>25</v>
      </c>
      <c r="J139" s="7"/>
      <c r="K139" s="7"/>
      <c r="L139" s="8" t="s">
        <v>202</v>
      </c>
      <c r="M139" s="8" t="s">
        <v>203</v>
      </c>
      <c r="N139" s="7" t="s">
        <v>72</v>
      </c>
      <c r="O139" s="7"/>
      <c r="P139" s="7"/>
      <c r="Q139" s="7"/>
      <c r="R139" s="7"/>
      <c r="S139" s="7"/>
      <c r="T139" s="7"/>
      <c r="U139" s="7"/>
      <c r="V139" s="8"/>
      <c r="W139" s="9">
        <f t="shared" si="2"/>
        <v>0</v>
      </c>
    </row>
    <row r="140" spans="1:23" ht="18.649999999999999" customHeight="1" x14ac:dyDescent="0.35">
      <c r="A140" s="6">
        <v>46143</v>
      </c>
      <c r="B140" s="7" t="s">
        <v>66</v>
      </c>
      <c r="C140" s="7">
        <v>13</v>
      </c>
      <c r="D140" s="6">
        <v>46139</v>
      </c>
      <c r="E140" s="8" t="s">
        <v>195</v>
      </c>
      <c r="F140" s="7" t="s">
        <v>46</v>
      </c>
      <c r="G140" s="8" t="s">
        <v>67</v>
      </c>
      <c r="H140" s="8" t="s">
        <v>68</v>
      </c>
      <c r="I140" s="7">
        <v>45</v>
      </c>
      <c r="J140" s="7">
        <v>1800</v>
      </c>
      <c r="K140" s="7" t="s">
        <v>49</v>
      </c>
      <c r="L140" s="8" t="s">
        <v>42</v>
      </c>
      <c r="M140" s="8" t="s">
        <v>69</v>
      </c>
      <c r="N140" s="7" t="s">
        <v>72</v>
      </c>
      <c r="O140" s="7"/>
      <c r="P140" s="7"/>
      <c r="Q140" s="7"/>
      <c r="R140" s="7"/>
      <c r="S140" s="7"/>
      <c r="T140" s="7"/>
      <c r="U140" s="7"/>
      <c r="V140" s="8"/>
      <c r="W140" s="9">
        <f t="shared" si="2"/>
        <v>0</v>
      </c>
    </row>
    <row r="141" spans="1:23" ht="18.649999999999999" customHeight="1" x14ac:dyDescent="0.35">
      <c r="A141" s="6">
        <v>46143</v>
      </c>
      <c r="B141" s="7" t="s">
        <v>66</v>
      </c>
      <c r="C141" s="7">
        <v>13</v>
      </c>
      <c r="D141" s="6">
        <v>46139</v>
      </c>
      <c r="E141" s="8" t="s">
        <v>195</v>
      </c>
      <c r="F141" s="7" t="s">
        <v>34</v>
      </c>
      <c r="G141" s="8" t="s">
        <v>70</v>
      </c>
      <c r="H141" s="8" t="s">
        <v>34</v>
      </c>
      <c r="I141" s="7">
        <v>35</v>
      </c>
      <c r="J141" s="7"/>
      <c r="K141" s="7"/>
      <c r="L141" s="8" t="s">
        <v>36</v>
      </c>
      <c r="M141" s="8" t="s">
        <v>71</v>
      </c>
      <c r="N141" s="7" t="s">
        <v>72</v>
      </c>
      <c r="O141" s="7"/>
      <c r="P141" s="7"/>
      <c r="Q141" s="7"/>
      <c r="R141" s="7"/>
      <c r="S141" s="7"/>
      <c r="T141" s="7"/>
      <c r="U141" s="7"/>
      <c r="V141" s="8"/>
      <c r="W141" s="9">
        <f t="shared" si="2"/>
        <v>0</v>
      </c>
    </row>
    <row r="142" spans="1:23" ht="18.649999999999999" customHeight="1" x14ac:dyDescent="0.35">
      <c r="A142" s="6">
        <v>46144</v>
      </c>
      <c r="B142" s="7" t="s">
        <v>73</v>
      </c>
      <c r="C142" s="7">
        <v>13</v>
      </c>
      <c r="D142" s="6">
        <v>46139</v>
      </c>
      <c r="E142" s="8" t="s">
        <v>195</v>
      </c>
      <c r="F142" s="7" t="s">
        <v>39</v>
      </c>
      <c r="G142" s="8" t="s">
        <v>74</v>
      </c>
      <c r="H142" s="8" t="s">
        <v>41</v>
      </c>
      <c r="I142" s="7">
        <v>120</v>
      </c>
      <c r="J142" s="7"/>
      <c r="K142" s="7"/>
      <c r="L142" s="8" t="s">
        <v>42</v>
      </c>
      <c r="M142" s="8" t="s">
        <v>75</v>
      </c>
      <c r="N142" s="7" t="s">
        <v>72</v>
      </c>
      <c r="O142" s="7"/>
      <c r="P142" s="7"/>
      <c r="Q142" s="7"/>
      <c r="R142" s="7"/>
      <c r="S142" s="7"/>
      <c r="T142" s="7"/>
      <c r="U142" s="7"/>
      <c r="V142" s="8"/>
      <c r="W142" s="9">
        <f t="shared" si="2"/>
        <v>0</v>
      </c>
    </row>
    <row r="143" spans="1:23" ht="18.649999999999999" customHeight="1" x14ac:dyDescent="0.35">
      <c r="A143" s="6">
        <v>46145</v>
      </c>
      <c r="B143" s="7" t="s">
        <v>77</v>
      </c>
      <c r="C143" s="7">
        <v>13</v>
      </c>
      <c r="D143" s="6">
        <v>46139</v>
      </c>
      <c r="E143" s="8" t="s">
        <v>195</v>
      </c>
      <c r="F143" s="7" t="s">
        <v>53</v>
      </c>
      <c r="G143" s="8" t="s">
        <v>119</v>
      </c>
      <c r="H143" s="8" t="s">
        <v>198</v>
      </c>
      <c r="I143" s="7">
        <v>240</v>
      </c>
      <c r="J143" s="7"/>
      <c r="K143" s="7"/>
      <c r="L143" s="8" t="s">
        <v>204</v>
      </c>
      <c r="M143" s="8" t="s">
        <v>205</v>
      </c>
      <c r="N143" s="7" t="s">
        <v>72</v>
      </c>
      <c r="O143" s="7"/>
      <c r="P143" s="7"/>
      <c r="Q143" s="7"/>
      <c r="R143" s="7"/>
      <c r="S143" s="7"/>
      <c r="T143" s="7"/>
      <c r="U143" s="7"/>
      <c r="V143" s="8"/>
      <c r="W143" s="9">
        <f t="shared" si="2"/>
        <v>0</v>
      </c>
    </row>
    <row r="144" spans="1:23" ht="18.649999999999999" customHeight="1" x14ac:dyDescent="0.35">
      <c r="A144" s="6">
        <v>46146</v>
      </c>
      <c r="B144" s="7" t="s">
        <v>32</v>
      </c>
      <c r="C144" s="7">
        <v>14</v>
      </c>
      <c r="D144" s="6">
        <v>46146</v>
      </c>
      <c r="E144" s="8" t="s">
        <v>195</v>
      </c>
      <c r="F144" s="7" t="s">
        <v>34</v>
      </c>
      <c r="G144" s="8" t="s">
        <v>35</v>
      </c>
      <c r="H144" s="8" t="s">
        <v>34</v>
      </c>
      <c r="I144" s="7">
        <v>45</v>
      </c>
      <c r="J144" s="7"/>
      <c r="K144" s="7"/>
      <c r="L144" s="8" t="s">
        <v>36</v>
      </c>
      <c r="M144" s="8" t="s">
        <v>37</v>
      </c>
      <c r="N144" s="7" t="s">
        <v>72</v>
      </c>
      <c r="O144" s="7"/>
      <c r="P144" s="7"/>
      <c r="Q144" s="7"/>
      <c r="R144" s="7"/>
      <c r="S144" s="7"/>
      <c r="T144" s="7"/>
      <c r="U144" s="7"/>
      <c r="V144" s="8"/>
      <c r="W144" s="9">
        <f t="shared" si="2"/>
        <v>0</v>
      </c>
    </row>
    <row r="145" spans="1:23" ht="18.649999999999999" customHeight="1" x14ac:dyDescent="0.35">
      <c r="A145" s="6">
        <v>46146</v>
      </c>
      <c r="B145" s="7" t="s">
        <v>32</v>
      </c>
      <c r="C145" s="7">
        <v>14</v>
      </c>
      <c r="D145" s="6">
        <v>46146</v>
      </c>
      <c r="E145" s="8" t="s">
        <v>195</v>
      </c>
      <c r="F145" s="7" t="s">
        <v>39</v>
      </c>
      <c r="G145" s="8" t="s">
        <v>40</v>
      </c>
      <c r="H145" s="8" t="s">
        <v>41</v>
      </c>
      <c r="I145" s="7">
        <v>40</v>
      </c>
      <c r="J145" s="7"/>
      <c r="K145" s="7"/>
      <c r="L145" s="8" t="s">
        <v>42</v>
      </c>
      <c r="M145" s="8" t="s">
        <v>43</v>
      </c>
      <c r="N145" s="7" t="s">
        <v>72</v>
      </c>
      <c r="O145" s="7"/>
      <c r="P145" s="7"/>
      <c r="Q145" s="7"/>
      <c r="R145" s="7"/>
      <c r="S145" s="7"/>
      <c r="T145" s="7"/>
      <c r="U145" s="7"/>
      <c r="V145" s="8"/>
      <c r="W145" s="9">
        <f t="shared" si="2"/>
        <v>0</v>
      </c>
    </row>
    <row r="146" spans="1:23" ht="18.649999999999999" customHeight="1" x14ac:dyDescent="0.35">
      <c r="A146" s="6">
        <v>46147</v>
      </c>
      <c r="B146" s="7" t="s">
        <v>45</v>
      </c>
      <c r="C146" s="7">
        <v>14</v>
      </c>
      <c r="D146" s="6">
        <v>46146</v>
      </c>
      <c r="E146" s="8" t="s">
        <v>195</v>
      </c>
      <c r="F146" s="7" t="s">
        <v>46</v>
      </c>
      <c r="G146" s="8" t="s">
        <v>47</v>
      </c>
      <c r="H146" s="8" t="s">
        <v>48</v>
      </c>
      <c r="I146" s="7">
        <v>45</v>
      </c>
      <c r="J146" s="7">
        <v>2000</v>
      </c>
      <c r="K146" s="7" t="s">
        <v>49</v>
      </c>
      <c r="L146" s="8" t="s">
        <v>50</v>
      </c>
      <c r="M146" s="8" t="s">
        <v>51</v>
      </c>
      <c r="N146" s="7" t="s">
        <v>72</v>
      </c>
      <c r="O146" s="7"/>
      <c r="P146" s="7"/>
      <c r="Q146" s="7"/>
      <c r="R146" s="7"/>
      <c r="S146" s="7"/>
      <c r="T146" s="7"/>
      <c r="U146" s="7"/>
      <c r="V146" s="8"/>
      <c r="W146" s="9">
        <f t="shared" si="2"/>
        <v>0</v>
      </c>
    </row>
    <row r="147" spans="1:23" ht="18.649999999999999" customHeight="1" x14ac:dyDescent="0.35">
      <c r="A147" s="6">
        <v>46147</v>
      </c>
      <c r="B147" s="7" t="s">
        <v>45</v>
      </c>
      <c r="C147" s="7">
        <v>14</v>
      </c>
      <c r="D147" s="6">
        <v>46146</v>
      </c>
      <c r="E147" s="8" t="s">
        <v>195</v>
      </c>
      <c r="F147" s="7" t="s">
        <v>53</v>
      </c>
      <c r="G147" s="8" t="s">
        <v>54</v>
      </c>
      <c r="H147" s="8" t="s">
        <v>41</v>
      </c>
      <c r="I147" s="7">
        <v>60</v>
      </c>
      <c r="J147" s="7"/>
      <c r="K147" s="7"/>
      <c r="L147" s="8" t="s">
        <v>55</v>
      </c>
      <c r="M147" s="8" t="s">
        <v>56</v>
      </c>
      <c r="N147" s="7" t="s">
        <v>72</v>
      </c>
      <c r="O147" s="7"/>
      <c r="P147" s="7"/>
      <c r="Q147" s="7"/>
      <c r="R147" s="7"/>
      <c r="S147" s="7"/>
      <c r="T147" s="7"/>
      <c r="U147" s="7"/>
      <c r="V147" s="8"/>
      <c r="W147" s="9">
        <f t="shared" si="2"/>
        <v>0</v>
      </c>
    </row>
    <row r="148" spans="1:23" ht="18.649999999999999" customHeight="1" x14ac:dyDescent="0.35">
      <c r="A148" s="6">
        <v>46148</v>
      </c>
      <c r="B148" s="7" t="s">
        <v>57</v>
      </c>
      <c r="C148" s="7">
        <v>14</v>
      </c>
      <c r="D148" s="6">
        <v>46146</v>
      </c>
      <c r="E148" s="8" t="s">
        <v>195</v>
      </c>
      <c r="F148" s="7" t="s">
        <v>39</v>
      </c>
      <c r="G148" s="8" t="s">
        <v>112</v>
      </c>
      <c r="H148" s="8" t="s">
        <v>87</v>
      </c>
      <c r="I148" s="7">
        <v>75</v>
      </c>
      <c r="J148" s="7"/>
      <c r="K148" s="7"/>
      <c r="L148" s="8" t="s">
        <v>113</v>
      </c>
      <c r="M148" s="8" t="s">
        <v>206</v>
      </c>
      <c r="N148" s="7" t="s">
        <v>72</v>
      </c>
      <c r="O148" s="7"/>
      <c r="P148" s="7"/>
      <c r="Q148" s="7"/>
      <c r="R148" s="7"/>
      <c r="S148" s="7"/>
      <c r="T148" s="7"/>
      <c r="U148" s="7"/>
      <c r="V148" s="8"/>
      <c r="W148" s="9">
        <f t="shared" si="2"/>
        <v>0</v>
      </c>
    </row>
    <row r="149" spans="1:23" ht="18.649999999999999" customHeight="1" x14ac:dyDescent="0.35">
      <c r="A149" s="6">
        <v>46149</v>
      </c>
      <c r="B149" s="7" t="s">
        <v>62</v>
      </c>
      <c r="C149" s="7">
        <v>14</v>
      </c>
      <c r="D149" s="6">
        <v>46146</v>
      </c>
      <c r="E149" s="8" t="s">
        <v>195</v>
      </c>
      <c r="F149" s="7" t="s">
        <v>53</v>
      </c>
      <c r="G149" s="8" t="s">
        <v>207</v>
      </c>
      <c r="H149" s="8" t="s">
        <v>198</v>
      </c>
      <c r="I149" s="7">
        <v>80</v>
      </c>
      <c r="J149" s="7"/>
      <c r="K149" s="7"/>
      <c r="L149" s="8" t="s">
        <v>117</v>
      </c>
      <c r="M149" s="8" t="s">
        <v>208</v>
      </c>
      <c r="N149" s="7" t="s">
        <v>72</v>
      </c>
      <c r="O149" s="7"/>
      <c r="P149" s="7"/>
      <c r="Q149" s="7"/>
      <c r="R149" s="7"/>
      <c r="S149" s="7"/>
      <c r="T149" s="7"/>
      <c r="U149" s="7"/>
      <c r="V149" s="8"/>
      <c r="W149" s="9">
        <f t="shared" si="2"/>
        <v>0</v>
      </c>
    </row>
    <row r="150" spans="1:23" ht="18.649999999999999" customHeight="1" x14ac:dyDescent="0.35">
      <c r="A150" s="6">
        <v>46149</v>
      </c>
      <c r="B150" s="7" t="s">
        <v>62</v>
      </c>
      <c r="C150" s="7">
        <v>14</v>
      </c>
      <c r="D150" s="6">
        <v>46146</v>
      </c>
      <c r="E150" s="8" t="s">
        <v>195</v>
      </c>
      <c r="F150" s="7" t="s">
        <v>39</v>
      </c>
      <c r="G150" s="8" t="s">
        <v>64</v>
      </c>
      <c r="H150" s="8" t="s">
        <v>41</v>
      </c>
      <c r="I150" s="7">
        <v>30</v>
      </c>
      <c r="J150" s="7"/>
      <c r="K150" s="7"/>
      <c r="L150" s="8" t="s">
        <v>42</v>
      </c>
      <c r="M150" s="8" t="s">
        <v>65</v>
      </c>
      <c r="N150" s="7" t="s">
        <v>72</v>
      </c>
      <c r="O150" s="7"/>
      <c r="P150" s="7"/>
      <c r="Q150" s="7"/>
      <c r="R150" s="7"/>
      <c r="S150" s="7"/>
      <c r="T150" s="7"/>
      <c r="U150" s="7"/>
      <c r="V150" s="8"/>
      <c r="W150" s="9">
        <f t="shared" si="2"/>
        <v>0</v>
      </c>
    </row>
    <row r="151" spans="1:23" ht="18.649999999999999" customHeight="1" x14ac:dyDescent="0.35">
      <c r="A151" s="6">
        <v>46150</v>
      </c>
      <c r="B151" s="7" t="s">
        <v>66</v>
      </c>
      <c r="C151" s="7">
        <v>14</v>
      </c>
      <c r="D151" s="6">
        <v>46146</v>
      </c>
      <c r="E151" s="8" t="s">
        <v>195</v>
      </c>
      <c r="F151" s="7" t="s">
        <v>46</v>
      </c>
      <c r="G151" s="8" t="s">
        <v>67</v>
      </c>
      <c r="H151" s="8" t="s">
        <v>68</v>
      </c>
      <c r="I151" s="7">
        <v>45</v>
      </c>
      <c r="J151" s="7">
        <v>1800</v>
      </c>
      <c r="K151" s="7" t="s">
        <v>49</v>
      </c>
      <c r="L151" s="8" t="s">
        <v>42</v>
      </c>
      <c r="M151" s="8" t="s">
        <v>69</v>
      </c>
      <c r="N151" s="7" t="s">
        <v>72</v>
      </c>
      <c r="O151" s="7"/>
      <c r="P151" s="7"/>
      <c r="Q151" s="7"/>
      <c r="R151" s="7"/>
      <c r="S151" s="7"/>
      <c r="T151" s="7"/>
      <c r="U151" s="7"/>
      <c r="V151" s="8"/>
      <c r="W151" s="9">
        <f t="shared" si="2"/>
        <v>0</v>
      </c>
    </row>
    <row r="152" spans="1:23" ht="18.649999999999999" customHeight="1" x14ac:dyDescent="0.35">
      <c r="A152" s="6">
        <v>46150</v>
      </c>
      <c r="B152" s="7" t="s">
        <v>66</v>
      </c>
      <c r="C152" s="7">
        <v>14</v>
      </c>
      <c r="D152" s="6">
        <v>46146</v>
      </c>
      <c r="E152" s="8" t="s">
        <v>195</v>
      </c>
      <c r="F152" s="7" t="s">
        <v>34</v>
      </c>
      <c r="G152" s="8" t="s">
        <v>70</v>
      </c>
      <c r="H152" s="8" t="s">
        <v>34</v>
      </c>
      <c r="I152" s="7">
        <v>35</v>
      </c>
      <c r="J152" s="7"/>
      <c r="K152" s="7"/>
      <c r="L152" s="8" t="s">
        <v>36</v>
      </c>
      <c r="M152" s="8" t="s">
        <v>71</v>
      </c>
      <c r="N152" s="7" t="s">
        <v>72</v>
      </c>
      <c r="O152" s="7"/>
      <c r="P152" s="7"/>
      <c r="Q152" s="7"/>
      <c r="R152" s="7"/>
      <c r="S152" s="7"/>
      <c r="T152" s="7"/>
      <c r="U152" s="7"/>
      <c r="V152" s="8"/>
      <c r="W152" s="9">
        <f t="shared" si="2"/>
        <v>0</v>
      </c>
    </row>
    <row r="153" spans="1:23" ht="18.649999999999999" customHeight="1" x14ac:dyDescent="0.35">
      <c r="A153" s="6">
        <v>46151</v>
      </c>
      <c r="B153" s="7" t="s">
        <v>73</v>
      </c>
      <c r="C153" s="7">
        <v>14</v>
      </c>
      <c r="D153" s="6">
        <v>46146</v>
      </c>
      <c r="E153" s="8" t="s">
        <v>195</v>
      </c>
      <c r="F153" s="7" t="s">
        <v>39</v>
      </c>
      <c r="G153" s="8" t="s">
        <v>74</v>
      </c>
      <c r="H153" s="8" t="s">
        <v>41</v>
      </c>
      <c r="I153" s="7">
        <v>125</v>
      </c>
      <c r="J153" s="7"/>
      <c r="K153" s="7"/>
      <c r="L153" s="8" t="s">
        <v>209</v>
      </c>
      <c r="M153" s="8" t="s">
        <v>210</v>
      </c>
      <c r="N153" s="7" t="s">
        <v>72</v>
      </c>
      <c r="O153" s="7"/>
      <c r="P153" s="7"/>
      <c r="Q153" s="7"/>
      <c r="R153" s="7"/>
      <c r="S153" s="7"/>
      <c r="T153" s="7"/>
      <c r="U153" s="7"/>
      <c r="V153" s="8"/>
      <c r="W153" s="9">
        <f t="shared" si="2"/>
        <v>0</v>
      </c>
    </row>
    <row r="154" spans="1:23" ht="18.649999999999999" customHeight="1" x14ac:dyDescent="0.35">
      <c r="A154" s="6">
        <v>46152</v>
      </c>
      <c r="B154" s="7" t="s">
        <v>77</v>
      </c>
      <c r="C154" s="7">
        <v>14</v>
      </c>
      <c r="D154" s="6">
        <v>46146</v>
      </c>
      <c r="E154" s="8" t="s">
        <v>195</v>
      </c>
      <c r="F154" s="7" t="s">
        <v>53</v>
      </c>
      <c r="G154" s="8" t="s">
        <v>119</v>
      </c>
      <c r="H154" s="8" t="s">
        <v>198</v>
      </c>
      <c r="I154" s="7">
        <v>250</v>
      </c>
      <c r="J154" s="7"/>
      <c r="K154" s="7"/>
      <c r="L154" s="8" t="s">
        <v>211</v>
      </c>
      <c r="M154" s="8" t="s">
        <v>212</v>
      </c>
      <c r="N154" s="7" t="s">
        <v>72</v>
      </c>
      <c r="O154" s="7"/>
      <c r="P154" s="7"/>
      <c r="Q154" s="7"/>
      <c r="R154" s="7"/>
      <c r="S154" s="7"/>
      <c r="T154" s="7"/>
      <c r="U154" s="7"/>
      <c r="V154" s="8"/>
      <c r="W154" s="9">
        <f t="shared" si="2"/>
        <v>0</v>
      </c>
    </row>
    <row r="155" spans="1:23" ht="18.649999999999999" customHeight="1" x14ac:dyDescent="0.35">
      <c r="A155" s="6">
        <v>46153</v>
      </c>
      <c r="B155" s="7" t="s">
        <v>32</v>
      </c>
      <c r="C155" s="7">
        <v>15</v>
      </c>
      <c r="D155" s="6">
        <v>46153</v>
      </c>
      <c r="E155" s="8" t="s">
        <v>195</v>
      </c>
      <c r="F155" s="7" t="s">
        <v>34</v>
      </c>
      <c r="G155" s="8" t="s">
        <v>35</v>
      </c>
      <c r="H155" s="8" t="s">
        <v>34</v>
      </c>
      <c r="I155" s="7">
        <v>45</v>
      </c>
      <c r="J155" s="7"/>
      <c r="K155" s="7"/>
      <c r="L155" s="8" t="s">
        <v>36</v>
      </c>
      <c r="M155" s="8" t="s">
        <v>37</v>
      </c>
      <c r="N155" s="7" t="s">
        <v>72</v>
      </c>
      <c r="O155" s="7"/>
      <c r="P155" s="7"/>
      <c r="Q155" s="7"/>
      <c r="R155" s="7"/>
      <c r="S155" s="7"/>
      <c r="T155" s="7"/>
      <c r="U155" s="7"/>
      <c r="V155" s="8"/>
      <c r="W155" s="9">
        <f t="shared" si="2"/>
        <v>0</v>
      </c>
    </row>
    <row r="156" spans="1:23" ht="18.649999999999999" customHeight="1" x14ac:dyDescent="0.35">
      <c r="A156" s="6">
        <v>46153</v>
      </c>
      <c r="B156" s="7" t="s">
        <v>32</v>
      </c>
      <c r="C156" s="7">
        <v>15</v>
      </c>
      <c r="D156" s="6">
        <v>46153</v>
      </c>
      <c r="E156" s="8" t="s">
        <v>195</v>
      </c>
      <c r="F156" s="7" t="s">
        <v>39</v>
      </c>
      <c r="G156" s="8" t="s">
        <v>40</v>
      </c>
      <c r="H156" s="8" t="s">
        <v>41</v>
      </c>
      <c r="I156" s="7">
        <v>40</v>
      </c>
      <c r="J156" s="7"/>
      <c r="K156" s="7"/>
      <c r="L156" s="8" t="s">
        <v>42</v>
      </c>
      <c r="M156" s="8" t="s">
        <v>43</v>
      </c>
      <c r="N156" s="7" t="s">
        <v>72</v>
      </c>
      <c r="O156" s="7"/>
      <c r="P156" s="7"/>
      <c r="Q156" s="7"/>
      <c r="R156" s="7"/>
      <c r="S156" s="7"/>
      <c r="T156" s="7"/>
      <c r="U156" s="7"/>
      <c r="V156" s="8"/>
      <c r="W156" s="9">
        <f t="shared" si="2"/>
        <v>0</v>
      </c>
    </row>
    <row r="157" spans="1:23" ht="18.649999999999999" customHeight="1" x14ac:dyDescent="0.35">
      <c r="A157" s="6">
        <v>46154</v>
      </c>
      <c r="B157" s="7" t="s">
        <v>45</v>
      </c>
      <c r="C157" s="7">
        <v>15</v>
      </c>
      <c r="D157" s="6">
        <v>46153</v>
      </c>
      <c r="E157" s="8" t="s">
        <v>195</v>
      </c>
      <c r="F157" s="7" t="s">
        <v>46</v>
      </c>
      <c r="G157" s="8" t="s">
        <v>47</v>
      </c>
      <c r="H157" s="8" t="s">
        <v>48</v>
      </c>
      <c r="I157" s="7">
        <v>45</v>
      </c>
      <c r="J157" s="7">
        <v>2000</v>
      </c>
      <c r="K157" s="7" t="s">
        <v>49</v>
      </c>
      <c r="L157" s="8" t="s">
        <v>50</v>
      </c>
      <c r="M157" s="8" t="s">
        <v>51</v>
      </c>
      <c r="N157" s="7" t="s">
        <v>72</v>
      </c>
      <c r="O157" s="7"/>
      <c r="P157" s="7"/>
      <c r="Q157" s="7"/>
      <c r="R157" s="7"/>
      <c r="S157" s="7"/>
      <c r="T157" s="7"/>
      <c r="U157" s="7"/>
      <c r="V157" s="8"/>
      <c r="W157" s="9">
        <f t="shared" si="2"/>
        <v>0</v>
      </c>
    </row>
    <row r="158" spans="1:23" ht="18.649999999999999" customHeight="1" x14ac:dyDescent="0.35">
      <c r="A158" s="6">
        <v>46154</v>
      </c>
      <c r="B158" s="7" t="s">
        <v>45</v>
      </c>
      <c r="C158" s="7">
        <v>15</v>
      </c>
      <c r="D158" s="6">
        <v>46153</v>
      </c>
      <c r="E158" s="8" t="s">
        <v>195</v>
      </c>
      <c r="F158" s="7" t="s">
        <v>53</v>
      </c>
      <c r="G158" s="8" t="s">
        <v>54</v>
      </c>
      <c r="H158" s="8" t="s">
        <v>41</v>
      </c>
      <c r="I158" s="7">
        <v>60</v>
      </c>
      <c r="J158" s="7"/>
      <c r="K158" s="7"/>
      <c r="L158" s="8" t="s">
        <v>55</v>
      </c>
      <c r="M158" s="8" t="s">
        <v>56</v>
      </c>
      <c r="N158" s="7" t="s">
        <v>72</v>
      </c>
      <c r="O158" s="7"/>
      <c r="P158" s="7"/>
      <c r="Q158" s="7"/>
      <c r="R158" s="7"/>
      <c r="S158" s="7"/>
      <c r="T158" s="7"/>
      <c r="U158" s="7"/>
      <c r="V158" s="8"/>
      <c r="W158" s="9">
        <f t="shared" si="2"/>
        <v>0</v>
      </c>
    </row>
    <row r="159" spans="1:23" ht="18.649999999999999" customHeight="1" x14ac:dyDescent="0.35">
      <c r="A159" s="6">
        <v>46155</v>
      </c>
      <c r="B159" s="7" t="s">
        <v>57</v>
      </c>
      <c r="C159" s="7">
        <v>15</v>
      </c>
      <c r="D159" s="6">
        <v>46153</v>
      </c>
      <c r="E159" s="8" t="s">
        <v>195</v>
      </c>
      <c r="F159" s="7" t="s">
        <v>39</v>
      </c>
      <c r="G159" s="8" t="s">
        <v>213</v>
      </c>
      <c r="H159" s="8" t="s">
        <v>214</v>
      </c>
      <c r="I159" s="7">
        <v>65</v>
      </c>
      <c r="J159" s="7"/>
      <c r="K159" s="7"/>
      <c r="L159" s="8" t="s">
        <v>215</v>
      </c>
      <c r="M159" s="8" t="s">
        <v>216</v>
      </c>
      <c r="N159" s="7" t="s">
        <v>72</v>
      </c>
      <c r="O159" s="7"/>
      <c r="P159" s="7"/>
      <c r="Q159" s="7"/>
      <c r="R159" s="7"/>
      <c r="S159" s="7"/>
      <c r="T159" s="7"/>
      <c r="U159" s="7"/>
      <c r="V159" s="8"/>
      <c r="W159" s="9">
        <f t="shared" si="2"/>
        <v>0</v>
      </c>
    </row>
    <row r="160" spans="1:23" ht="18.649999999999999" customHeight="1" x14ac:dyDescent="0.35">
      <c r="A160" s="6">
        <v>46156</v>
      </c>
      <c r="B160" s="7" t="s">
        <v>62</v>
      </c>
      <c r="C160" s="7">
        <v>15</v>
      </c>
      <c r="D160" s="6">
        <v>46153</v>
      </c>
      <c r="E160" s="8" t="s">
        <v>195</v>
      </c>
      <c r="F160" s="7" t="s">
        <v>53</v>
      </c>
      <c r="G160" s="8" t="s">
        <v>197</v>
      </c>
      <c r="H160" s="8" t="s">
        <v>198</v>
      </c>
      <c r="I160" s="7">
        <v>80</v>
      </c>
      <c r="J160" s="7"/>
      <c r="K160" s="7"/>
      <c r="L160" s="8" t="s">
        <v>199</v>
      </c>
      <c r="M160" s="8" t="s">
        <v>217</v>
      </c>
      <c r="N160" s="7" t="s">
        <v>72</v>
      </c>
      <c r="O160" s="7"/>
      <c r="P160" s="7"/>
      <c r="Q160" s="7"/>
      <c r="R160" s="7"/>
      <c r="S160" s="7"/>
      <c r="T160" s="7"/>
      <c r="U160" s="7"/>
      <c r="V160" s="8"/>
      <c r="W160" s="9">
        <f t="shared" si="2"/>
        <v>0</v>
      </c>
    </row>
    <row r="161" spans="1:23" ht="18.649999999999999" customHeight="1" x14ac:dyDescent="0.35">
      <c r="A161" s="6">
        <v>46156</v>
      </c>
      <c r="B161" s="7" t="s">
        <v>62</v>
      </c>
      <c r="C161" s="7">
        <v>15</v>
      </c>
      <c r="D161" s="6">
        <v>46153</v>
      </c>
      <c r="E161" s="8" t="s">
        <v>195</v>
      </c>
      <c r="F161" s="7" t="s">
        <v>39</v>
      </c>
      <c r="G161" s="8" t="s">
        <v>64</v>
      </c>
      <c r="H161" s="8" t="s">
        <v>41</v>
      </c>
      <c r="I161" s="7">
        <v>20</v>
      </c>
      <c r="J161" s="7"/>
      <c r="K161" s="7"/>
      <c r="L161" s="8" t="s">
        <v>42</v>
      </c>
      <c r="M161" s="8" t="s">
        <v>65</v>
      </c>
      <c r="N161" s="7" t="s">
        <v>72</v>
      </c>
      <c r="O161" s="7"/>
      <c r="P161" s="7"/>
      <c r="Q161" s="7"/>
      <c r="R161" s="7"/>
      <c r="S161" s="7"/>
      <c r="T161" s="7"/>
      <c r="U161" s="7"/>
      <c r="V161" s="8"/>
      <c r="W161" s="9">
        <f t="shared" si="2"/>
        <v>0</v>
      </c>
    </row>
    <row r="162" spans="1:23" ht="18.649999999999999" customHeight="1" x14ac:dyDescent="0.35">
      <c r="A162" s="6">
        <v>46157</v>
      </c>
      <c r="B162" s="7" t="s">
        <v>66</v>
      </c>
      <c r="C162" s="7">
        <v>15</v>
      </c>
      <c r="D162" s="6">
        <v>46153</v>
      </c>
      <c r="E162" s="8" t="s">
        <v>195</v>
      </c>
      <c r="F162" s="7" t="s">
        <v>46</v>
      </c>
      <c r="G162" s="8" t="s">
        <v>67</v>
      </c>
      <c r="H162" s="8" t="s">
        <v>68</v>
      </c>
      <c r="I162" s="7">
        <v>45</v>
      </c>
      <c r="J162" s="7">
        <v>1800</v>
      </c>
      <c r="K162" s="7" t="s">
        <v>49</v>
      </c>
      <c r="L162" s="8" t="s">
        <v>42</v>
      </c>
      <c r="M162" s="8" t="s">
        <v>69</v>
      </c>
      <c r="N162" s="7" t="s">
        <v>72</v>
      </c>
      <c r="O162" s="7"/>
      <c r="P162" s="7"/>
      <c r="Q162" s="7"/>
      <c r="R162" s="7"/>
      <c r="S162" s="7"/>
      <c r="T162" s="7"/>
      <c r="U162" s="7"/>
      <c r="V162" s="8"/>
      <c r="W162" s="9">
        <f t="shared" si="2"/>
        <v>0</v>
      </c>
    </row>
    <row r="163" spans="1:23" ht="18.649999999999999" customHeight="1" x14ac:dyDescent="0.35">
      <c r="A163" s="6">
        <v>46157</v>
      </c>
      <c r="B163" s="7" t="s">
        <v>66</v>
      </c>
      <c r="C163" s="7">
        <v>15</v>
      </c>
      <c r="D163" s="6">
        <v>46153</v>
      </c>
      <c r="E163" s="8" t="s">
        <v>195</v>
      </c>
      <c r="F163" s="7" t="s">
        <v>34</v>
      </c>
      <c r="G163" s="8" t="s">
        <v>70</v>
      </c>
      <c r="H163" s="8" t="s">
        <v>34</v>
      </c>
      <c r="I163" s="7">
        <v>35</v>
      </c>
      <c r="J163" s="7"/>
      <c r="K163" s="7"/>
      <c r="L163" s="8" t="s">
        <v>36</v>
      </c>
      <c r="M163" s="8" t="s">
        <v>71</v>
      </c>
      <c r="N163" s="7" t="s">
        <v>72</v>
      </c>
      <c r="O163" s="7"/>
      <c r="P163" s="7"/>
      <c r="Q163" s="7"/>
      <c r="R163" s="7"/>
      <c r="S163" s="7"/>
      <c r="T163" s="7"/>
      <c r="U163" s="7"/>
      <c r="V163" s="8"/>
      <c r="W163" s="9">
        <f t="shared" si="2"/>
        <v>0</v>
      </c>
    </row>
    <row r="164" spans="1:23" ht="18.649999999999999" customHeight="1" x14ac:dyDescent="0.35">
      <c r="A164" s="6">
        <v>46158</v>
      </c>
      <c r="B164" s="7" t="s">
        <v>73</v>
      </c>
      <c r="C164" s="7">
        <v>15</v>
      </c>
      <c r="D164" s="6">
        <v>46153</v>
      </c>
      <c r="E164" s="8" t="s">
        <v>195</v>
      </c>
      <c r="F164" s="7" t="s">
        <v>39</v>
      </c>
      <c r="G164" s="8" t="s">
        <v>74</v>
      </c>
      <c r="H164" s="8" t="s">
        <v>41</v>
      </c>
      <c r="I164" s="7">
        <v>130</v>
      </c>
      <c r="J164" s="7"/>
      <c r="K164" s="7"/>
      <c r="L164" s="8" t="s">
        <v>42</v>
      </c>
      <c r="M164" s="8" t="s">
        <v>75</v>
      </c>
      <c r="N164" s="7" t="s">
        <v>72</v>
      </c>
      <c r="O164" s="7"/>
      <c r="P164" s="7"/>
      <c r="Q164" s="7"/>
      <c r="R164" s="7"/>
      <c r="S164" s="7"/>
      <c r="T164" s="7"/>
      <c r="U164" s="7"/>
      <c r="V164" s="8"/>
      <c r="W164" s="9">
        <f t="shared" si="2"/>
        <v>0</v>
      </c>
    </row>
    <row r="165" spans="1:23" ht="18.649999999999999" customHeight="1" x14ac:dyDescent="0.35">
      <c r="A165" s="6">
        <v>46159</v>
      </c>
      <c r="B165" s="7" t="s">
        <v>77</v>
      </c>
      <c r="C165" s="7">
        <v>15</v>
      </c>
      <c r="D165" s="6">
        <v>46153</v>
      </c>
      <c r="E165" s="8" t="s">
        <v>195</v>
      </c>
      <c r="F165" s="7" t="s">
        <v>53</v>
      </c>
      <c r="G165" s="8" t="s">
        <v>218</v>
      </c>
      <c r="H165" s="8" t="s">
        <v>198</v>
      </c>
      <c r="I165" s="7">
        <v>255</v>
      </c>
      <c r="J165" s="7"/>
      <c r="K165" s="7"/>
      <c r="L165" s="8" t="s">
        <v>219</v>
      </c>
      <c r="M165" s="8" t="s">
        <v>220</v>
      </c>
      <c r="N165" s="7" t="s">
        <v>72</v>
      </c>
      <c r="O165" s="7"/>
      <c r="P165" s="7"/>
      <c r="Q165" s="7"/>
      <c r="R165" s="7"/>
      <c r="S165" s="7"/>
      <c r="T165" s="7"/>
      <c r="U165" s="7"/>
      <c r="V165" s="8"/>
      <c r="W165" s="9">
        <f t="shared" si="2"/>
        <v>0</v>
      </c>
    </row>
    <row r="166" spans="1:23" ht="18.649999999999999" customHeight="1" x14ac:dyDescent="0.35">
      <c r="A166" s="6">
        <v>46160</v>
      </c>
      <c r="B166" s="7" t="s">
        <v>32</v>
      </c>
      <c r="C166" s="7">
        <v>16</v>
      </c>
      <c r="D166" s="6">
        <v>46160</v>
      </c>
      <c r="E166" s="8" t="s">
        <v>190</v>
      </c>
      <c r="F166" s="7" t="s">
        <v>34</v>
      </c>
      <c r="G166" s="8" t="s">
        <v>35</v>
      </c>
      <c r="H166" s="8" t="s">
        <v>34</v>
      </c>
      <c r="I166" s="7">
        <v>45</v>
      </c>
      <c r="J166" s="7"/>
      <c r="K166" s="7"/>
      <c r="L166" s="8" t="s">
        <v>36</v>
      </c>
      <c r="M166" s="8" t="s">
        <v>37</v>
      </c>
      <c r="N166" s="7" t="s">
        <v>72</v>
      </c>
      <c r="O166" s="7"/>
      <c r="P166" s="7"/>
      <c r="Q166" s="7"/>
      <c r="R166" s="7"/>
      <c r="S166" s="7"/>
      <c r="T166" s="7"/>
      <c r="U166" s="7"/>
      <c r="V166" s="8"/>
      <c r="W166" s="9">
        <f t="shared" si="2"/>
        <v>0</v>
      </c>
    </row>
    <row r="167" spans="1:23" ht="18.649999999999999" customHeight="1" x14ac:dyDescent="0.35">
      <c r="A167" s="6">
        <v>46160</v>
      </c>
      <c r="B167" s="7" t="s">
        <v>32</v>
      </c>
      <c r="C167" s="7">
        <v>16</v>
      </c>
      <c r="D167" s="6">
        <v>46160</v>
      </c>
      <c r="E167" s="8" t="s">
        <v>190</v>
      </c>
      <c r="F167" s="7" t="s">
        <v>39</v>
      </c>
      <c r="G167" s="8" t="s">
        <v>40</v>
      </c>
      <c r="H167" s="8" t="s">
        <v>41</v>
      </c>
      <c r="I167" s="7">
        <v>30</v>
      </c>
      <c r="J167" s="7"/>
      <c r="K167" s="7"/>
      <c r="L167" s="8" t="s">
        <v>42</v>
      </c>
      <c r="M167" s="8" t="s">
        <v>43</v>
      </c>
      <c r="N167" s="7" t="s">
        <v>72</v>
      </c>
      <c r="O167" s="7"/>
      <c r="P167" s="7"/>
      <c r="Q167" s="7"/>
      <c r="R167" s="7"/>
      <c r="S167" s="7"/>
      <c r="T167" s="7"/>
      <c r="U167" s="7"/>
      <c r="V167" s="8"/>
      <c r="W167" s="9">
        <f t="shared" si="2"/>
        <v>0</v>
      </c>
    </row>
    <row r="168" spans="1:23" ht="18.649999999999999" customHeight="1" x14ac:dyDescent="0.35">
      <c r="A168" s="6">
        <v>46161</v>
      </c>
      <c r="B168" s="7" t="s">
        <v>45</v>
      </c>
      <c r="C168" s="7">
        <v>16</v>
      </c>
      <c r="D168" s="6">
        <v>46160</v>
      </c>
      <c r="E168" s="8" t="s">
        <v>190</v>
      </c>
      <c r="F168" s="7" t="s">
        <v>46</v>
      </c>
      <c r="G168" s="8" t="s">
        <v>140</v>
      </c>
      <c r="H168" s="8" t="s">
        <v>94</v>
      </c>
      <c r="I168" s="7">
        <v>40</v>
      </c>
      <c r="J168" s="7">
        <v>1700</v>
      </c>
      <c r="K168" s="7" t="s">
        <v>49</v>
      </c>
      <c r="L168" s="8" t="s">
        <v>95</v>
      </c>
      <c r="M168" s="8" t="s">
        <v>192</v>
      </c>
      <c r="N168" s="7" t="s">
        <v>72</v>
      </c>
      <c r="O168" s="7"/>
      <c r="P168" s="7"/>
      <c r="Q168" s="7"/>
      <c r="R168" s="7"/>
      <c r="S168" s="7"/>
      <c r="T168" s="7"/>
      <c r="U168" s="7"/>
      <c r="V168" s="8"/>
      <c r="W168" s="9">
        <f t="shared" si="2"/>
        <v>0</v>
      </c>
    </row>
    <row r="169" spans="1:23" ht="18.649999999999999" customHeight="1" x14ac:dyDescent="0.35">
      <c r="A169" s="6">
        <v>46161</v>
      </c>
      <c r="B169" s="7" t="s">
        <v>45</v>
      </c>
      <c r="C169" s="7">
        <v>16</v>
      </c>
      <c r="D169" s="6">
        <v>46160</v>
      </c>
      <c r="E169" s="8" t="s">
        <v>190</v>
      </c>
      <c r="F169" s="7" t="s">
        <v>53</v>
      </c>
      <c r="G169" s="8" t="s">
        <v>54</v>
      </c>
      <c r="H169" s="8" t="s">
        <v>94</v>
      </c>
      <c r="I169" s="7">
        <v>55</v>
      </c>
      <c r="J169" s="7"/>
      <c r="K169" s="7"/>
      <c r="L169" s="8" t="s">
        <v>42</v>
      </c>
      <c r="M169" s="8" t="s">
        <v>192</v>
      </c>
      <c r="N169" s="7" t="s">
        <v>72</v>
      </c>
      <c r="O169" s="7"/>
      <c r="P169" s="7"/>
      <c r="Q169" s="7"/>
      <c r="R169" s="7"/>
      <c r="S169" s="7"/>
      <c r="T169" s="7"/>
      <c r="U169" s="7"/>
      <c r="V169" s="8"/>
      <c r="W169" s="9">
        <f t="shared" si="2"/>
        <v>0</v>
      </c>
    </row>
    <row r="170" spans="1:23" ht="18.649999999999999" customHeight="1" x14ac:dyDescent="0.35">
      <c r="A170" s="6">
        <v>46162</v>
      </c>
      <c r="B170" s="7" t="s">
        <v>57</v>
      </c>
      <c r="C170" s="7">
        <v>16</v>
      </c>
      <c r="D170" s="6">
        <v>46160</v>
      </c>
      <c r="E170" s="8" t="s">
        <v>190</v>
      </c>
      <c r="F170" s="7" t="s">
        <v>39</v>
      </c>
      <c r="G170" s="8" t="s">
        <v>58</v>
      </c>
      <c r="H170" s="8" t="s">
        <v>94</v>
      </c>
      <c r="I170" s="7">
        <v>45</v>
      </c>
      <c r="J170" s="7"/>
      <c r="K170" s="7"/>
      <c r="L170" s="8" t="s">
        <v>42</v>
      </c>
      <c r="M170" s="8" t="s">
        <v>192</v>
      </c>
      <c r="N170" s="7" t="s">
        <v>72</v>
      </c>
      <c r="O170" s="7"/>
      <c r="P170" s="7"/>
      <c r="Q170" s="7"/>
      <c r="R170" s="7"/>
      <c r="S170" s="7"/>
      <c r="T170" s="7"/>
      <c r="U170" s="7"/>
      <c r="V170" s="8"/>
      <c r="W170" s="9">
        <f t="shared" si="2"/>
        <v>0</v>
      </c>
    </row>
    <row r="171" spans="1:23" ht="18.649999999999999" customHeight="1" x14ac:dyDescent="0.35">
      <c r="A171" s="6">
        <v>46163</v>
      </c>
      <c r="B171" s="7" t="s">
        <v>62</v>
      </c>
      <c r="C171" s="7">
        <v>16</v>
      </c>
      <c r="D171" s="6">
        <v>46160</v>
      </c>
      <c r="E171" s="8" t="s">
        <v>190</v>
      </c>
      <c r="F171" s="7" t="s">
        <v>53</v>
      </c>
      <c r="G171" s="8" t="s">
        <v>54</v>
      </c>
      <c r="H171" s="8" t="s">
        <v>94</v>
      </c>
      <c r="I171" s="7">
        <v>60</v>
      </c>
      <c r="J171" s="7"/>
      <c r="K171" s="7"/>
      <c r="L171" s="8" t="s">
        <v>42</v>
      </c>
      <c r="M171" s="8" t="s">
        <v>192</v>
      </c>
      <c r="N171" s="7" t="s">
        <v>72</v>
      </c>
      <c r="O171" s="7"/>
      <c r="P171" s="7"/>
      <c r="Q171" s="7"/>
      <c r="R171" s="7"/>
      <c r="S171" s="7"/>
      <c r="T171" s="7"/>
      <c r="U171" s="7"/>
      <c r="V171" s="8"/>
      <c r="W171" s="9">
        <f t="shared" si="2"/>
        <v>0</v>
      </c>
    </row>
    <row r="172" spans="1:23" ht="18.649999999999999" customHeight="1" x14ac:dyDescent="0.35">
      <c r="A172" s="6">
        <v>46163</v>
      </c>
      <c r="B172" s="7" t="s">
        <v>62</v>
      </c>
      <c r="C172" s="7">
        <v>16</v>
      </c>
      <c r="D172" s="6">
        <v>46160</v>
      </c>
      <c r="E172" s="8" t="s">
        <v>190</v>
      </c>
      <c r="F172" s="7" t="s">
        <v>39</v>
      </c>
      <c r="G172" s="8" t="s">
        <v>102</v>
      </c>
      <c r="H172" s="8" t="s">
        <v>94</v>
      </c>
      <c r="I172" s="7">
        <v>15</v>
      </c>
      <c r="J172" s="7"/>
      <c r="K172" s="7"/>
      <c r="L172" s="8" t="s">
        <v>95</v>
      </c>
      <c r="M172" s="8" t="s">
        <v>192</v>
      </c>
      <c r="N172" s="7" t="s">
        <v>72</v>
      </c>
      <c r="O172" s="7"/>
      <c r="P172" s="7"/>
      <c r="Q172" s="7"/>
      <c r="R172" s="7"/>
      <c r="S172" s="7"/>
      <c r="T172" s="7"/>
      <c r="U172" s="7"/>
      <c r="V172" s="8"/>
      <c r="W172" s="9">
        <f t="shared" si="2"/>
        <v>0</v>
      </c>
    </row>
    <row r="173" spans="1:23" ht="18.649999999999999" customHeight="1" x14ac:dyDescent="0.35">
      <c r="A173" s="6">
        <v>46164</v>
      </c>
      <c r="B173" s="7" t="s">
        <v>66</v>
      </c>
      <c r="C173" s="7">
        <v>16</v>
      </c>
      <c r="D173" s="6">
        <v>46160</v>
      </c>
      <c r="E173" s="8" t="s">
        <v>190</v>
      </c>
      <c r="F173" s="7" t="s">
        <v>46</v>
      </c>
      <c r="G173" s="8" t="s">
        <v>194</v>
      </c>
      <c r="H173" s="8" t="s">
        <v>94</v>
      </c>
      <c r="I173" s="7">
        <v>40</v>
      </c>
      <c r="J173" s="7">
        <v>1500</v>
      </c>
      <c r="K173" s="7" t="s">
        <v>49</v>
      </c>
      <c r="L173" s="8" t="s">
        <v>95</v>
      </c>
      <c r="M173" s="8" t="s">
        <v>192</v>
      </c>
      <c r="N173" s="7" t="s">
        <v>72</v>
      </c>
      <c r="O173" s="7"/>
      <c r="P173" s="7"/>
      <c r="Q173" s="7"/>
      <c r="R173" s="7"/>
      <c r="S173" s="7"/>
      <c r="T173" s="7"/>
      <c r="U173" s="7"/>
      <c r="V173" s="8"/>
      <c r="W173" s="9">
        <f t="shared" si="2"/>
        <v>0</v>
      </c>
    </row>
    <row r="174" spans="1:23" ht="18.649999999999999" customHeight="1" x14ac:dyDescent="0.35">
      <c r="A174" s="6">
        <v>46164</v>
      </c>
      <c r="B174" s="7" t="s">
        <v>66</v>
      </c>
      <c r="C174" s="7">
        <v>16</v>
      </c>
      <c r="D174" s="6">
        <v>46160</v>
      </c>
      <c r="E174" s="8" t="s">
        <v>190</v>
      </c>
      <c r="F174" s="7" t="s">
        <v>34</v>
      </c>
      <c r="G174" s="8" t="s">
        <v>70</v>
      </c>
      <c r="H174" s="8" t="s">
        <v>34</v>
      </c>
      <c r="I174" s="7">
        <v>35</v>
      </c>
      <c r="J174" s="7"/>
      <c r="K174" s="7"/>
      <c r="L174" s="8" t="s">
        <v>36</v>
      </c>
      <c r="M174" s="8" t="s">
        <v>71</v>
      </c>
      <c r="N174" s="7" t="s">
        <v>72</v>
      </c>
      <c r="O174" s="7"/>
      <c r="P174" s="7"/>
      <c r="Q174" s="7"/>
      <c r="R174" s="7"/>
      <c r="S174" s="7"/>
      <c r="T174" s="7"/>
      <c r="U174" s="7"/>
      <c r="V174" s="8"/>
      <c r="W174" s="9">
        <f t="shared" si="2"/>
        <v>0</v>
      </c>
    </row>
    <row r="175" spans="1:23" ht="18.649999999999999" customHeight="1" x14ac:dyDescent="0.35">
      <c r="A175" s="6">
        <v>46165</v>
      </c>
      <c r="B175" s="7" t="s">
        <v>73</v>
      </c>
      <c r="C175" s="7">
        <v>16</v>
      </c>
      <c r="D175" s="6">
        <v>46160</v>
      </c>
      <c r="E175" s="8" t="s">
        <v>190</v>
      </c>
      <c r="F175" s="7" t="s">
        <v>39</v>
      </c>
      <c r="G175" s="8" t="s">
        <v>74</v>
      </c>
      <c r="H175" s="8" t="s">
        <v>94</v>
      </c>
      <c r="I175" s="7">
        <v>100</v>
      </c>
      <c r="J175" s="7"/>
      <c r="K175" s="7"/>
      <c r="L175" s="8" t="s">
        <v>42</v>
      </c>
      <c r="M175" s="8" t="s">
        <v>192</v>
      </c>
      <c r="N175" s="7" t="s">
        <v>72</v>
      </c>
      <c r="O175" s="7"/>
      <c r="P175" s="7"/>
      <c r="Q175" s="7"/>
      <c r="R175" s="7"/>
      <c r="S175" s="7"/>
      <c r="T175" s="7"/>
      <c r="U175" s="7"/>
      <c r="V175" s="8"/>
      <c r="W175" s="9">
        <f t="shared" si="2"/>
        <v>0</v>
      </c>
    </row>
    <row r="176" spans="1:23" ht="18.649999999999999" customHeight="1" x14ac:dyDescent="0.35">
      <c r="A176" s="6">
        <v>46166</v>
      </c>
      <c r="B176" s="7" t="s">
        <v>77</v>
      </c>
      <c r="C176" s="7">
        <v>16</v>
      </c>
      <c r="D176" s="6">
        <v>46160</v>
      </c>
      <c r="E176" s="8" t="s">
        <v>190</v>
      </c>
      <c r="F176" s="7" t="s">
        <v>53</v>
      </c>
      <c r="G176" s="8" t="s">
        <v>108</v>
      </c>
      <c r="H176" s="8" t="s">
        <v>94</v>
      </c>
      <c r="I176" s="7">
        <v>200</v>
      </c>
      <c r="J176" s="7"/>
      <c r="K176" s="7"/>
      <c r="L176" s="8" t="s">
        <v>42</v>
      </c>
      <c r="M176" s="8" t="s">
        <v>192</v>
      </c>
      <c r="N176" s="7" t="s">
        <v>72</v>
      </c>
      <c r="O176" s="7"/>
      <c r="P176" s="7"/>
      <c r="Q176" s="7"/>
      <c r="R176" s="7"/>
      <c r="S176" s="7"/>
      <c r="T176" s="7"/>
      <c r="U176" s="7"/>
      <c r="V176" s="8"/>
      <c r="W176" s="9">
        <f t="shared" si="2"/>
        <v>0</v>
      </c>
    </row>
    <row r="177" spans="1:23" ht="18.649999999999999" customHeight="1" x14ac:dyDescent="0.35">
      <c r="A177" s="6">
        <v>46167</v>
      </c>
      <c r="B177" s="7" t="s">
        <v>32</v>
      </c>
      <c r="C177" s="7">
        <v>17</v>
      </c>
      <c r="D177" s="6">
        <v>46167</v>
      </c>
      <c r="E177" s="8" t="s">
        <v>221</v>
      </c>
      <c r="F177" s="7" t="s">
        <v>34</v>
      </c>
      <c r="G177" s="8" t="s">
        <v>35</v>
      </c>
      <c r="H177" s="8" t="s">
        <v>34</v>
      </c>
      <c r="I177" s="7">
        <v>45</v>
      </c>
      <c r="J177" s="7"/>
      <c r="K177" s="7"/>
      <c r="L177" s="8" t="s">
        <v>36</v>
      </c>
      <c r="M177" s="8" t="s">
        <v>37</v>
      </c>
      <c r="N177" s="7" t="s">
        <v>72</v>
      </c>
      <c r="O177" s="7"/>
      <c r="P177" s="7"/>
      <c r="Q177" s="7"/>
      <c r="R177" s="7"/>
      <c r="S177" s="7"/>
      <c r="T177" s="7"/>
      <c r="U177" s="7"/>
      <c r="V177" s="8"/>
      <c r="W177" s="9">
        <f t="shared" si="2"/>
        <v>0</v>
      </c>
    </row>
    <row r="178" spans="1:23" ht="18.649999999999999" customHeight="1" x14ac:dyDescent="0.35">
      <c r="A178" s="6">
        <v>46167</v>
      </c>
      <c r="B178" s="7" t="s">
        <v>32</v>
      </c>
      <c r="C178" s="7">
        <v>17</v>
      </c>
      <c r="D178" s="6">
        <v>46167</v>
      </c>
      <c r="E178" s="8" t="s">
        <v>221</v>
      </c>
      <c r="F178" s="7" t="s">
        <v>39</v>
      </c>
      <c r="G178" s="8" t="s">
        <v>40</v>
      </c>
      <c r="H178" s="8" t="s">
        <v>41</v>
      </c>
      <c r="I178" s="7">
        <v>40</v>
      </c>
      <c r="J178" s="7"/>
      <c r="K178" s="7"/>
      <c r="L178" s="8" t="s">
        <v>42</v>
      </c>
      <c r="M178" s="8" t="s">
        <v>43</v>
      </c>
      <c r="N178" s="7" t="s">
        <v>72</v>
      </c>
      <c r="O178" s="7"/>
      <c r="P178" s="7"/>
      <c r="Q178" s="7"/>
      <c r="R178" s="7"/>
      <c r="S178" s="7"/>
      <c r="T178" s="7"/>
      <c r="U178" s="7"/>
      <c r="V178" s="8"/>
      <c r="W178" s="9">
        <f t="shared" si="2"/>
        <v>0</v>
      </c>
    </row>
    <row r="179" spans="1:23" ht="18.649999999999999" customHeight="1" x14ac:dyDescent="0.35">
      <c r="A179" s="6">
        <v>46168</v>
      </c>
      <c r="B179" s="7" t="s">
        <v>45</v>
      </c>
      <c r="C179" s="7">
        <v>17</v>
      </c>
      <c r="D179" s="6">
        <v>46167</v>
      </c>
      <c r="E179" s="8" t="s">
        <v>221</v>
      </c>
      <c r="F179" s="7" t="s">
        <v>46</v>
      </c>
      <c r="G179" s="8" t="s">
        <v>47</v>
      </c>
      <c r="H179" s="8" t="s">
        <v>48</v>
      </c>
      <c r="I179" s="7">
        <v>45</v>
      </c>
      <c r="J179" s="7">
        <v>2000</v>
      </c>
      <c r="K179" s="7" t="s">
        <v>49</v>
      </c>
      <c r="L179" s="8" t="s">
        <v>50</v>
      </c>
      <c r="M179" s="8" t="s">
        <v>51</v>
      </c>
      <c r="N179" s="7" t="s">
        <v>72</v>
      </c>
      <c r="O179" s="7"/>
      <c r="P179" s="7"/>
      <c r="Q179" s="7"/>
      <c r="R179" s="7"/>
      <c r="S179" s="7"/>
      <c r="T179" s="7"/>
      <c r="U179" s="7"/>
      <c r="V179" s="8"/>
      <c r="W179" s="9">
        <f t="shared" si="2"/>
        <v>0</v>
      </c>
    </row>
    <row r="180" spans="1:23" ht="18.649999999999999" customHeight="1" x14ac:dyDescent="0.35">
      <c r="A180" s="6">
        <v>46168</v>
      </c>
      <c r="B180" s="7" t="s">
        <v>45</v>
      </c>
      <c r="C180" s="7">
        <v>17</v>
      </c>
      <c r="D180" s="6">
        <v>46167</v>
      </c>
      <c r="E180" s="8" t="s">
        <v>221</v>
      </c>
      <c r="F180" s="7" t="s">
        <v>53</v>
      </c>
      <c r="G180" s="8" t="s">
        <v>54</v>
      </c>
      <c r="H180" s="8" t="s">
        <v>41</v>
      </c>
      <c r="I180" s="7">
        <v>60</v>
      </c>
      <c r="J180" s="7"/>
      <c r="K180" s="7"/>
      <c r="L180" s="8" t="s">
        <v>55</v>
      </c>
      <c r="M180" s="8" t="s">
        <v>56</v>
      </c>
      <c r="N180" s="7" t="s">
        <v>72</v>
      </c>
      <c r="O180" s="7"/>
      <c r="P180" s="7"/>
      <c r="Q180" s="7"/>
      <c r="R180" s="7"/>
      <c r="S180" s="7"/>
      <c r="T180" s="7"/>
      <c r="U180" s="7"/>
      <c r="V180" s="8"/>
      <c r="W180" s="9">
        <f t="shared" si="2"/>
        <v>0</v>
      </c>
    </row>
    <row r="181" spans="1:23" ht="18.649999999999999" customHeight="1" x14ac:dyDescent="0.35">
      <c r="A181" s="6">
        <v>46169</v>
      </c>
      <c r="B181" s="7" t="s">
        <v>57</v>
      </c>
      <c r="C181" s="7">
        <v>17</v>
      </c>
      <c r="D181" s="6">
        <v>46167</v>
      </c>
      <c r="E181" s="8" t="s">
        <v>221</v>
      </c>
      <c r="F181" s="7" t="s">
        <v>39</v>
      </c>
      <c r="G181" s="8" t="s">
        <v>112</v>
      </c>
      <c r="H181" s="8" t="s">
        <v>87</v>
      </c>
      <c r="I181" s="7">
        <v>75</v>
      </c>
      <c r="J181" s="7"/>
      <c r="K181" s="7"/>
      <c r="L181" s="8" t="s">
        <v>113</v>
      </c>
      <c r="M181" s="8" t="s">
        <v>222</v>
      </c>
      <c r="N181" s="7" t="s">
        <v>72</v>
      </c>
      <c r="O181" s="7"/>
      <c r="P181" s="7"/>
      <c r="Q181" s="7"/>
      <c r="R181" s="7"/>
      <c r="S181" s="7"/>
      <c r="T181" s="7"/>
      <c r="U181" s="7"/>
      <c r="V181" s="8"/>
      <c r="W181" s="9">
        <f t="shared" si="2"/>
        <v>0</v>
      </c>
    </row>
    <row r="182" spans="1:23" ht="18.649999999999999" customHeight="1" x14ac:dyDescent="0.35">
      <c r="A182" s="6">
        <v>46170</v>
      </c>
      <c r="B182" s="7" t="s">
        <v>62</v>
      </c>
      <c r="C182" s="7">
        <v>17</v>
      </c>
      <c r="D182" s="6">
        <v>46167</v>
      </c>
      <c r="E182" s="8" t="s">
        <v>221</v>
      </c>
      <c r="F182" s="7" t="s">
        <v>53</v>
      </c>
      <c r="G182" s="8" t="s">
        <v>223</v>
      </c>
      <c r="H182" s="8" t="s">
        <v>198</v>
      </c>
      <c r="I182" s="7">
        <v>85</v>
      </c>
      <c r="J182" s="7"/>
      <c r="K182" s="7"/>
      <c r="L182" s="8" t="s">
        <v>224</v>
      </c>
      <c r="M182" s="8" t="s">
        <v>225</v>
      </c>
      <c r="N182" s="7" t="s">
        <v>72</v>
      </c>
      <c r="O182" s="7"/>
      <c r="P182" s="7"/>
      <c r="Q182" s="7"/>
      <c r="R182" s="7"/>
      <c r="S182" s="7"/>
      <c r="T182" s="7"/>
      <c r="U182" s="7"/>
      <c r="V182" s="8"/>
      <c r="W182" s="9">
        <f t="shared" si="2"/>
        <v>0</v>
      </c>
    </row>
    <row r="183" spans="1:23" ht="18.649999999999999" customHeight="1" x14ac:dyDescent="0.35">
      <c r="A183" s="6">
        <v>46170</v>
      </c>
      <c r="B183" s="7" t="s">
        <v>62</v>
      </c>
      <c r="C183" s="7">
        <v>17</v>
      </c>
      <c r="D183" s="6">
        <v>46167</v>
      </c>
      <c r="E183" s="8" t="s">
        <v>221</v>
      </c>
      <c r="F183" s="7" t="s">
        <v>39</v>
      </c>
      <c r="G183" s="8" t="s">
        <v>64</v>
      </c>
      <c r="H183" s="8" t="s">
        <v>198</v>
      </c>
      <c r="I183" s="7">
        <v>30</v>
      </c>
      <c r="J183" s="7"/>
      <c r="K183" s="7"/>
      <c r="L183" s="8" t="s">
        <v>42</v>
      </c>
      <c r="M183" s="8" t="s">
        <v>192</v>
      </c>
      <c r="N183" s="7" t="s">
        <v>72</v>
      </c>
      <c r="O183" s="7"/>
      <c r="P183" s="7"/>
      <c r="Q183" s="7"/>
      <c r="R183" s="7"/>
      <c r="S183" s="7"/>
      <c r="T183" s="7"/>
      <c r="U183" s="7"/>
      <c r="V183" s="8"/>
      <c r="W183" s="9">
        <f t="shared" si="2"/>
        <v>0</v>
      </c>
    </row>
    <row r="184" spans="1:23" ht="18.649999999999999" customHeight="1" x14ac:dyDescent="0.35">
      <c r="A184" s="6">
        <v>46171</v>
      </c>
      <c r="B184" s="7" t="s">
        <v>66</v>
      </c>
      <c r="C184" s="7">
        <v>17</v>
      </c>
      <c r="D184" s="6">
        <v>46167</v>
      </c>
      <c r="E184" s="8" t="s">
        <v>221</v>
      </c>
      <c r="F184" s="7" t="s">
        <v>46</v>
      </c>
      <c r="G184" s="8" t="s">
        <v>67</v>
      </c>
      <c r="H184" s="8" t="s">
        <v>68</v>
      </c>
      <c r="I184" s="7">
        <v>45</v>
      </c>
      <c r="J184" s="7">
        <v>1800</v>
      </c>
      <c r="K184" s="7" t="s">
        <v>49</v>
      </c>
      <c r="L184" s="8" t="s">
        <v>42</v>
      </c>
      <c r="M184" s="8" t="s">
        <v>69</v>
      </c>
      <c r="N184" s="7" t="s">
        <v>72</v>
      </c>
      <c r="O184" s="7"/>
      <c r="P184" s="7"/>
      <c r="Q184" s="7"/>
      <c r="R184" s="7"/>
      <c r="S184" s="7"/>
      <c r="T184" s="7"/>
      <c r="U184" s="7"/>
      <c r="V184" s="8"/>
      <c r="W184" s="9">
        <f t="shared" si="2"/>
        <v>0</v>
      </c>
    </row>
    <row r="185" spans="1:23" ht="18.649999999999999" customHeight="1" x14ac:dyDescent="0.35">
      <c r="A185" s="6">
        <v>46171</v>
      </c>
      <c r="B185" s="7" t="s">
        <v>66</v>
      </c>
      <c r="C185" s="7">
        <v>17</v>
      </c>
      <c r="D185" s="6">
        <v>46167</v>
      </c>
      <c r="E185" s="8" t="s">
        <v>221</v>
      </c>
      <c r="F185" s="7" t="s">
        <v>34</v>
      </c>
      <c r="G185" s="8" t="s">
        <v>70</v>
      </c>
      <c r="H185" s="8" t="s">
        <v>34</v>
      </c>
      <c r="I185" s="7">
        <v>35</v>
      </c>
      <c r="J185" s="7"/>
      <c r="K185" s="7"/>
      <c r="L185" s="8" t="s">
        <v>36</v>
      </c>
      <c r="M185" s="8" t="s">
        <v>71</v>
      </c>
      <c r="N185" s="7" t="s">
        <v>72</v>
      </c>
      <c r="O185" s="7"/>
      <c r="P185" s="7"/>
      <c r="Q185" s="7"/>
      <c r="R185" s="7"/>
      <c r="S185" s="7"/>
      <c r="T185" s="7"/>
      <c r="U185" s="7"/>
      <c r="V185" s="8"/>
      <c r="W185" s="9">
        <f t="shared" si="2"/>
        <v>0</v>
      </c>
    </row>
    <row r="186" spans="1:23" ht="18.649999999999999" customHeight="1" x14ac:dyDescent="0.35">
      <c r="A186" s="6">
        <v>46172</v>
      </c>
      <c r="B186" s="7" t="s">
        <v>73</v>
      </c>
      <c r="C186" s="7">
        <v>17</v>
      </c>
      <c r="D186" s="6">
        <v>46167</v>
      </c>
      <c r="E186" s="8" t="s">
        <v>221</v>
      </c>
      <c r="F186" s="7" t="s">
        <v>39</v>
      </c>
      <c r="G186" s="8" t="s">
        <v>74</v>
      </c>
      <c r="H186" s="8" t="s">
        <v>41</v>
      </c>
      <c r="I186" s="7">
        <v>135</v>
      </c>
      <c r="J186" s="7"/>
      <c r="K186" s="7"/>
      <c r="L186" s="8" t="s">
        <v>180</v>
      </c>
      <c r="M186" s="8" t="s">
        <v>226</v>
      </c>
      <c r="N186" s="7" t="s">
        <v>72</v>
      </c>
      <c r="O186" s="7"/>
      <c r="P186" s="7"/>
      <c r="Q186" s="7"/>
      <c r="R186" s="7"/>
      <c r="S186" s="7"/>
      <c r="T186" s="7"/>
      <c r="U186" s="7"/>
      <c r="V186" s="8"/>
      <c r="W186" s="9">
        <f t="shared" si="2"/>
        <v>0</v>
      </c>
    </row>
    <row r="187" spans="1:23" ht="18.649999999999999" customHeight="1" x14ac:dyDescent="0.35">
      <c r="A187" s="6">
        <v>46173</v>
      </c>
      <c r="B187" s="7" t="s">
        <v>77</v>
      </c>
      <c r="C187" s="7">
        <v>17</v>
      </c>
      <c r="D187" s="6">
        <v>46167</v>
      </c>
      <c r="E187" s="8" t="s">
        <v>221</v>
      </c>
      <c r="F187" s="7" t="s">
        <v>53</v>
      </c>
      <c r="G187" s="8" t="s">
        <v>227</v>
      </c>
      <c r="H187" s="8" t="s">
        <v>198</v>
      </c>
      <c r="I187" s="7">
        <v>255</v>
      </c>
      <c r="J187" s="7"/>
      <c r="K187" s="7"/>
      <c r="L187" s="8" t="s">
        <v>228</v>
      </c>
      <c r="M187" s="8" t="s">
        <v>229</v>
      </c>
      <c r="N187" s="7" t="s">
        <v>72</v>
      </c>
      <c r="O187" s="7"/>
      <c r="P187" s="7"/>
      <c r="Q187" s="7"/>
      <c r="R187" s="7"/>
      <c r="S187" s="7"/>
      <c r="T187" s="7"/>
      <c r="U187" s="7"/>
      <c r="V187" s="8"/>
      <c r="W187" s="9">
        <f t="shared" si="2"/>
        <v>0</v>
      </c>
    </row>
    <row r="188" spans="1:23" ht="18.649999999999999" customHeight="1" x14ac:dyDescent="0.35">
      <c r="A188" s="6">
        <v>46174</v>
      </c>
      <c r="B188" s="7" t="s">
        <v>32</v>
      </c>
      <c r="C188" s="7">
        <v>18</v>
      </c>
      <c r="D188" s="6">
        <v>46174</v>
      </c>
      <c r="E188" s="8" t="s">
        <v>221</v>
      </c>
      <c r="F188" s="7" t="s">
        <v>34</v>
      </c>
      <c r="G188" s="8" t="s">
        <v>35</v>
      </c>
      <c r="H188" s="8" t="s">
        <v>34</v>
      </c>
      <c r="I188" s="7">
        <v>45</v>
      </c>
      <c r="J188" s="7"/>
      <c r="K188" s="7"/>
      <c r="L188" s="8" t="s">
        <v>36</v>
      </c>
      <c r="M188" s="8" t="s">
        <v>37</v>
      </c>
      <c r="N188" s="7" t="s">
        <v>72</v>
      </c>
      <c r="O188" s="7"/>
      <c r="P188" s="7"/>
      <c r="Q188" s="7"/>
      <c r="R188" s="7"/>
      <c r="S188" s="7"/>
      <c r="T188" s="7"/>
      <c r="U188" s="7"/>
      <c r="V188" s="8"/>
      <c r="W188" s="9">
        <f t="shared" si="2"/>
        <v>0</v>
      </c>
    </row>
    <row r="189" spans="1:23" ht="18.649999999999999" customHeight="1" x14ac:dyDescent="0.35">
      <c r="A189" s="6">
        <v>46174</v>
      </c>
      <c r="B189" s="7" t="s">
        <v>32</v>
      </c>
      <c r="C189" s="7">
        <v>18</v>
      </c>
      <c r="D189" s="6">
        <v>46174</v>
      </c>
      <c r="E189" s="8" t="s">
        <v>221</v>
      </c>
      <c r="F189" s="7" t="s">
        <v>39</v>
      </c>
      <c r="G189" s="8" t="s">
        <v>40</v>
      </c>
      <c r="H189" s="8" t="s">
        <v>41</v>
      </c>
      <c r="I189" s="7">
        <v>40</v>
      </c>
      <c r="J189" s="7"/>
      <c r="K189" s="7"/>
      <c r="L189" s="8" t="s">
        <v>42</v>
      </c>
      <c r="M189" s="8" t="s">
        <v>43</v>
      </c>
      <c r="N189" s="7" t="s">
        <v>72</v>
      </c>
      <c r="O189" s="7"/>
      <c r="P189" s="7"/>
      <c r="Q189" s="7"/>
      <c r="R189" s="7"/>
      <c r="S189" s="7"/>
      <c r="T189" s="7"/>
      <c r="U189" s="7"/>
      <c r="V189" s="8"/>
      <c r="W189" s="9">
        <f t="shared" si="2"/>
        <v>0</v>
      </c>
    </row>
    <row r="190" spans="1:23" ht="18.649999999999999" customHeight="1" x14ac:dyDescent="0.35">
      <c r="A190" s="6">
        <v>46175</v>
      </c>
      <c r="B190" s="7" t="s">
        <v>45</v>
      </c>
      <c r="C190" s="7">
        <v>18</v>
      </c>
      <c r="D190" s="6">
        <v>46174</v>
      </c>
      <c r="E190" s="8" t="s">
        <v>221</v>
      </c>
      <c r="F190" s="7" t="s">
        <v>46</v>
      </c>
      <c r="G190" s="8" t="s">
        <v>47</v>
      </c>
      <c r="H190" s="8" t="s">
        <v>48</v>
      </c>
      <c r="I190" s="7">
        <v>45</v>
      </c>
      <c r="J190" s="7">
        <v>2000</v>
      </c>
      <c r="K190" s="7" t="s">
        <v>49</v>
      </c>
      <c r="L190" s="8" t="s">
        <v>50</v>
      </c>
      <c r="M190" s="8" t="s">
        <v>51</v>
      </c>
      <c r="N190" s="7" t="s">
        <v>72</v>
      </c>
      <c r="O190" s="7"/>
      <c r="P190" s="7"/>
      <c r="Q190" s="7"/>
      <c r="R190" s="7"/>
      <c r="S190" s="7"/>
      <c r="T190" s="7"/>
      <c r="U190" s="7"/>
      <c r="V190" s="8"/>
      <c r="W190" s="9">
        <f t="shared" si="2"/>
        <v>0</v>
      </c>
    </row>
    <row r="191" spans="1:23" ht="18.649999999999999" customHeight="1" x14ac:dyDescent="0.35">
      <c r="A191" s="6">
        <v>46175</v>
      </c>
      <c r="B191" s="7" t="s">
        <v>45</v>
      </c>
      <c r="C191" s="7">
        <v>18</v>
      </c>
      <c r="D191" s="6">
        <v>46174</v>
      </c>
      <c r="E191" s="8" t="s">
        <v>221</v>
      </c>
      <c r="F191" s="7" t="s">
        <v>53</v>
      </c>
      <c r="G191" s="8" t="s">
        <v>54</v>
      </c>
      <c r="H191" s="8" t="s">
        <v>41</v>
      </c>
      <c r="I191" s="7">
        <v>60</v>
      </c>
      <c r="J191" s="7"/>
      <c r="K191" s="7"/>
      <c r="L191" s="8" t="s">
        <v>55</v>
      </c>
      <c r="M191" s="8" t="s">
        <v>56</v>
      </c>
      <c r="N191" s="7" t="s">
        <v>72</v>
      </c>
      <c r="O191" s="7"/>
      <c r="P191" s="7"/>
      <c r="Q191" s="7"/>
      <c r="R191" s="7"/>
      <c r="S191" s="7"/>
      <c r="T191" s="7"/>
      <c r="U191" s="7"/>
      <c r="V191" s="8"/>
      <c r="W191" s="9">
        <f t="shared" si="2"/>
        <v>0</v>
      </c>
    </row>
    <row r="192" spans="1:23" ht="18.649999999999999" customHeight="1" x14ac:dyDescent="0.35">
      <c r="A192" s="6">
        <v>46176</v>
      </c>
      <c r="B192" s="7" t="s">
        <v>57</v>
      </c>
      <c r="C192" s="7">
        <v>18</v>
      </c>
      <c r="D192" s="6">
        <v>46174</v>
      </c>
      <c r="E192" s="8" t="s">
        <v>221</v>
      </c>
      <c r="F192" s="7" t="s">
        <v>39</v>
      </c>
      <c r="G192" s="8" t="s">
        <v>112</v>
      </c>
      <c r="H192" s="8" t="s">
        <v>87</v>
      </c>
      <c r="I192" s="7">
        <v>75</v>
      </c>
      <c r="J192" s="7"/>
      <c r="K192" s="7"/>
      <c r="L192" s="8" t="s">
        <v>113</v>
      </c>
      <c r="M192" s="8" t="s">
        <v>230</v>
      </c>
      <c r="N192" s="7" t="s">
        <v>72</v>
      </c>
      <c r="O192" s="7"/>
      <c r="P192" s="7"/>
      <c r="Q192" s="7"/>
      <c r="R192" s="7"/>
      <c r="S192" s="7"/>
      <c r="T192" s="7"/>
      <c r="U192" s="7"/>
      <c r="V192" s="8"/>
      <c r="W192" s="9">
        <f t="shared" si="2"/>
        <v>0</v>
      </c>
    </row>
    <row r="193" spans="1:23" ht="18.649999999999999" customHeight="1" x14ac:dyDescent="0.35">
      <c r="A193" s="6">
        <v>46177</v>
      </c>
      <c r="B193" s="7" t="s">
        <v>62</v>
      </c>
      <c r="C193" s="7">
        <v>18</v>
      </c>
      <c r="D193" s="6">
        <v>46174</v>
      </c>
      <c r="E193" s="8" t="s">
        <v>221</v>
      </c>
      <c r="F193" s="7" t="s">
        <v>53</v>
      </c>
      <c r="G193" s="8" t="s">
        <v>231</v>
      </c>
      <c r="H193" s="8" t="s">
        <v>198</v>
      </c>
      <c r="I193" s="7">
        <v>90</v>
      </c>
      <c r="J193" s="7"/>
      <c r="K193" s="7"/>
      <c r="L193" s="8" t="s">
        <v>224</v>
      </c>
      <c r="M193" s="8" t="s">
        <v>232</v>
      </c>
      <c r="N193" s="7" t="s">
        <v>72</v>
      </c>
      <c r="O193" s="7"/>
      <c r="P193" s="7"/>
      <c r="Q193" s="7"/>
      <c r="R193" s="7"/>
      <c r="S193" s="7"/>
      <c r="T193" s="7"/>
      <c r="U193" s="7"/>
      <c r="V193" s="8"/>
      <c r="W193" s="9">
        <f t="shared" si="2"/>
        <v>0</v>
      </c>
    </row>
    <row r="194" spans="1:23" ht="18.649999999999999" customHeight="1" x14ac:dyDescent="0.35">
      <c r="A194" s="6">
        <v>46177</v>
      </c>
      <c r="B194" s="7" t="s">
        <v>62</v>
      </c>
      <c r="C194" s="7">
        <v>18</v>
      </c>
      <c r="D194" s="6">
        <v>46174</v>
      </c>
      <c r="E194" s="8" t="s">
        <v>221</v>
      </c>
      <c r="F194" s="7" t="s">
        <v>39</v>
      </c>
      <c r="G194" s="8" t="s">
        <v>64</v>
      </c>
      <c r="H194" s="8" t="s">
        <v>198</v>
      </c>
      <c r="I194" s="7">
        <v>30</v>
      </c>
      <c r="J194" s="7"/>
      <c r="K194" s="7"/>
      <c r="L194" s="8" t="s">
        <v>42</v>
      </c>
      <c r="M194" s="8" t="s">
        <v>192</v>
      </c>
      <c r="N194" s="7" t="s">
        <v>72</v>
      </c>
      <c r="O194" s="7"/>
      <c r="P194" s="7"/>
      <c r="Q194" s="7"/>
      <c r="R194" s="7"/>
      <c r="S194" s="7"/>
      <c r="T194" s="7"/>
      <c r="U194" s="7"/>
      <c r="V194" s="8"/>
      <c r="W194" s="9">
        <f t="shared" ref="W194:W257" si="3">IF(OR($N194="Hecho",$N194="Parcial"),IF($O194="",0,$O194),0)</f>
        <v>0</v>
      </c>
    </row>
    <row r="195" spans="1:23" ht="18.649999999999999" customHeight="1" x14ac:dyDescent="0.35">
      <c r="A195" s="6">
        <v>46178</v>
      </c>
      <c r="B195" s="7" t="s">
        <v>66</v>
      </c>
      <c r="C195" s="7">
        <v>18</v>
      </c>
      <c r="D195" s="6">
        <v>46174</v>
      </c>
      <c r="E195" s="8" t="s">
        <v>221</v>
      </c>
      <c r="F195" s="7" t="s">
        <v>46</v>
      </c>
      <c r="G195" s="8" t="s">
        <v>67</v>
      </c>
      <c r="H195" s="8" t="s">
        <v>68</v>
      </c>
      <c r="I195" s="7">
        <v>45</v>
      </c>
      <c r="J195" s="7">
        <v>1800</v>
      </c>
      <c r="K195" s="7" t="s">
        <v>49</v>
      </c>
      <c r="L195" s="8" t="s">
        <v>42</v>
      </c>
      <c r="M195" s="8" t="s">
        <v>69</v>
      </c>
      <c r="N195" s="7" t="s">
        <v>72</v>
      </c>
      <c r="O195" s="7"/>
      <c r="P195" s="7"/>
      <c r="Q195" s="7"/>
      <c r="R195" s="7"/>
      <c r="S195" s="7"/>
      <c r="T195" s="7"/>
      <c r="U195" s="7"/>
      <c r="V195" s="8"/>
      <c r="W195" s="9">
        <f t="shared" si="3"/>
        <v>0</v>
      </c>
    </row>
    <row r="196" spans="1:23" ht="18.649999999999999" customHeight="1" x14ac:dyDescent="0.35">
      <c r="A196" s="6">
        <v>46178</v>
      </c>
      <c r="B196" s="7" t="s">
        <v>66</v>
      </c>
      <c r="C196" s="7">
        <v>18</v>
      </c>
      <c r="D196" s="6">
        <v>46174</v>
      </c>
      <c r="E196" s="8" t="s">
        <v>221</v>
      </c>
      <c r="F196" s="7" t="s">
        <v>34</v>
      </c>
      <c r="G196" s="8" t="s">
        <v>70</v>
      </c>
      <c r="H196" s="8" t="s">
        <v>34</v>
      </c>
      <c r="I196" s="7">
        <v>35</v>
      </c>
      <c r="J196" s="7"/>
      <c r="K196" s="7"/>
      <c r="L196" s="8" t="s">
        <v>36</v>
      </c>
      <c r="M196" s="8" t="s">
        <v>71</v>
      </c>
      <c r="N196" s="7" t="s">
        <v>72</v>
      </c>
      <c r="O196" s="7"/>
      <c r="P196" s="7"/>
      <c r="Q196" s="7"/>
      <c r="R196" s="7"/>
      <c r="S196" s="7"/>
      <c r="T196" s="7"/>
      <c r="U196" s="7"/>
      <c r="V196" s="8"/>
      <c r="W196" s="9">
        <f t="shared" si="3"/>
        <v>0</v>
      </c>
    </row>
    <row r="197" spans="1:23" ht="18.649999999999999" customHeight="1" x14ac:dyDescent="0.35">
      <c r="A197" s="6">
        <v>46179</v>
      </c>
      <c r="B197" s="7" t="s">
        <v>73</v>
      </c>
      <c r="C197" s="7">
        <v>18</v>
      </c>
      <c r="D197" s="6">
        <v>46174</v>
      </c>
      <c r="E197" s="8" t="s">
        <v>221</v>
      </c>
      <c r="F197" s="7" t="s">
        <v>39</v>
      </c>
      <c r="G197" s="8" t="s">
        <v>74</v>
      </c>
      <c r="H197" s="8" t="s">
        <v>41</v>
      </c>
      <c r="I197" s="7">
        <v>140</v>
      </c>
      <c r="J197" s="7"/>
      <c r="K197" s="7"/>
      <c r="L197" s="8" t="s">
        <v>42</v>
      </c>
      <c r="M197" s="8" t="s">
        <v>75</v>
      </c>
      <c r="N197" s="7" t="s">
        <v>72</v>
      </c>
      <c r="O197" s="7"/>
      <c r="P197" s="7"/>
      <c r="Q197" s="7"/>
      <c r="R197" s="7"/>
      <c r="S197" s="7"/>
      <c r="T197" s="7"/>
      <c r="U197" s="7"/>
      <c r="V197" s="8"/>
      <c r="W197" s="9">
        <f t="shared" si="3"/>
        <v>0</v>
      </c>
    </row>
    <row r="198" spans="1:23" ht="18.649999999999999" customHeight="1" x14ac:dyDescent="0.35">
      <c r="A198" s="6">
        <v>46180</v>
      </c>
      <c r="B198" s="7" t="s">
        <v>77</v>
      </c>
      <c r="C198" s="7">
        <v>18</v>
      </c>
      <c r="D198" s="6">
        <v>46174</v>
      </c>
      <c r="E198" s="8" t="s">
        <v>221</v>
      </c>
      <c r="F198" s="7" t="s">
        <v>53</v>
      </c>
      <c r="G198" s="8" t="s">
        <v>233</v>
      </c>
      <c r="H198" s="8" t="s">
        <v>198</v>
      </c>
      <c r="I198" s="7">
        <v>260</v>
      </c>
      <c r="J198" s="7"/>
      <c r="K198" s="7"/>
      <c r="L198" s="8" t="s">
        <v>234</v>
      </c>
      <c r="M198" s="8" t="s">
        <v>235</v>
      </c>
      <c r="N198" s="7" t="s">
        <v>72</v>
      </c>
      <c r="O198" s="7"/>
      <c r="P198" s="7"/>
      <c r="Q198" s="7"/>
      <c r="R198" s="7"/>
      <c r="S198" s="7"/>
      <c r="T198" s="7"/>
      <c r="U198" s="7"/>
      <c r="V198" s="8"/>
      <c r="W198" s="9">
        <f t="shared" si="3"/>
        <v>0</v>
      </c>
    </row>
    <row r="199" spans="1:23" ht="18.649999999999999" customHeight="1" x14ac:dyDescent="0.35">
      <c r="A199" s="6">
        <v>46181</v>
      </c>
      <c r="B199" s="7" t="s">
        <v>32</v>
      </c>
      <c r="C199" s="7">
        <v>19</v>
      </c>
      <c r="D199" s="6">
        <v>46181</v>
      </c>
      <c r="E199" s="8" t="s">
        <v>221</v>
      </c>
      <c r="F199" s="7" t="s">
        <v>34</v>
      </c>
      <c r="G199" s="8" t="s">
        <v>35</v>
      </c>
      <c r="H199" s="8" t="s">
        <v>34</v>
      </c>
      <c r="I199" s="7">
        <v>45</v>
      </c>
      <c r="J199" s="7"/>
      <c r="K199" s="7"/>
      <c r="L199" s="8" t="s">
        <v>36</v>
      </c>
      <c r="M199" s="8" t="s">
        <v>37</v>
      </c>
      <c r="N199" s="7" t="s">
        <v>72</v>
      </c>
      <c r="O199" s="7"/>
      <c r="P199" s="7"/>
      <c r="Q199" s="7"/>
      <c r="R199" s="7"/>
      <c r="S199" s="7"/>
      <c r="T199" s="7"/>
      <c r="U199" s="7"/>
      <c r="V199" s="8"/>
      <c r="W199" s="9">
        <f t="shared" si="3"/>
        <v>0</v>
      </c>
    </row>
    <row r="200" spans="1:23" ht="18.649999999999999" customHeight="1" x14ac:dyDescent="0.35">
      <c r="A200" s="6">
        <v>46181</v>
      </c>
      <c r="B200" s="7" t="s">
        <v>32</v>
      </c>
      <c r="C200" s="7">
        <v>19</v>
      </c>
      <c r="D200" s="6">
        <v>46181</v>
      </c>
      <c r="E200" s="8" t="s">
        <v>221</v>
      </c>
      <c r="F200" s="7" t="s">
        <v>39</v>
      </c>
      <c r="G200" s="8" t="s">
        <v>40</v>
      </c>
      <c r="H200" s="8" t="s">
        <v>41</v>
      </c>
      <c r="I200" s="7">
        <v>40</v>
      </c>
      <c r="J200" s="7"/>
      <c r="K200" s="7"/>
      <c r="L200" s="8" t="s">
        <v>42</v>
      </c>
      <c r="M200" s="8" t="s">
        <v>43</v>
      </c>
      <c r="N200" s="7" t="s">
        <v>72</v>
      </c>
      <c r="O200" s="7"/>
      <c r="P200" s="7"/>
      <c r="Q200" s="7"/>
      <c r="R200" s="7"/>
      <c r="S200" s="7"/>
      <c r="T200" s="7"/>
      <c r="U200" s="7"/>
      <c r="V200" s="8"/>
      <c r="W200" s="9">
        <f t="shared" si="3"/>
        <v>0</v>
      </c>
    </row>
    <row r="201" spans="1:23" ht="18.649999999999999" customHeight="1" x14ac:dyDescent="0.35">
      <c r="A201" s="6">
        <v>46182</v>
      </c>
      <c r="B201" s="7" t="s">
        <v>45</v>
      </c>
      <c r="C201" s="7">
        <v>19</v>
      </c>
      <c r="D201" s="6">
        <v>46181</v>
      </c>
      <c r="E201" s="8" t="s">
        <v>221</v>
      </c>
      <c r="F201" s="7" t="s">
        <v>46</v>
      </c>
      <c r="G201" s="8" t="s">
        <v>47</v>
      </c>
      <c r="H201" s="8" t="s">
        <v>48</v>
      </c>
      <c r="I201" s="7">
        <v>45</v>
      </c>
      <c r="J201" s="7">
        <v>2000</v>
      </c>
      <c r="K201" s="7" t="s">
        <v>49</v>
      </c>
      <c r="L201" s="8" t="s">
        <v>50</v>
      </c>
      <c r="M201" s="8" t="s">
        <v>51</v>
      </c>
      <c r="N201" s="7" t="s">
        <v>72</v>
      </c>
      <c r="O201" s="7"/>
      <c r="P201" s="7"/>
      <c r="Q201" s="7"/>
      <c r="R201" s="7"/>
      <c r="S201" s="7"/>
      <c r="T201" s="7"/>
      <c r="U201" s="7"/>
      <c r="V201" s="8"/>
      <c r="W201" s="9">
        <f t="shared" si="3"/>
        <v>0</v>
      </c>
    </row>
    <row r="202" spans="1:23" ht="18.649999999999999" customHeight="1" x14ac:dyDescent="0.35">
      <c r="A202" s="6">
        <v>46182</v>
      </c>
      <c r="B202" s="7" t="s">
        <v>45</v>
      </c>
      <c r="C202" s="7">
        <v>19</v>
      </c>
      <c r="D202" s="6">
        <v>46181</v>
      </c>
      <c r="E202" s="8" t="s">
        <v>221</v>
      </c>
      <c r="F202" s="7" t="s">
        <v>53</v>
      </c>
      <c r="G202" s="8" t="s">
        <v>54</v>
      </c>
      <c r="H202" s="8" t="s">
        <v>41</v>
      </c>
      <c r="I202" s="7">
        <v>60</v>
      </c>
      <c r="J202" s="7"/>
      <c r="K202" s="7"/>
      <c r="L202" s="8" t="s">
        <v>55</v>
      </c>
      <c r="M202" s="8" t="s">
        <v>56</v>
      </c>
      <c r="N202" s="7" t="s">
        <v>72</v>
      </c>
      <c r="O202" s="7"/>
      <c r="P202" s="7"/>
      <c r="Q202" s="7"/>
      <c r="R202" s="7"/>
      <c r="S202" s="7"/>
      <c r="T202" s="7"/>
      <c r="U202" s="7"/>
      <c r="V202" s="8"/>
      <c r="W202" s="9">
        <f t="shared" si="3"/>
        <v>0</v>
      </c>
    </row>
    <row r="203" spans="1:23" ht="18.649999999999999" customHeight="1" x14ac:dyDescent="0.35">
      <c r="A203" s="6">
        <v>46183</v>
      </c>
      <c r="B203" s="7" t="s">
        <v>57</v>
      </c>
      <c r="C203" s="7">
        <v>19</v>
      </c>
      <c r="D203" s="6">
        <v>46181</v>
      </c>
      <c r="E203" s="8" t="s">
        <v>221</v>
      </c>
      <c r="F203" s="7" t="s">
        <v>39</v>
      </c>
      <c r="G203" s="8" t="s">
        <v>236</v>
      </c>
      <c r="H203" s="8" t="s">
        <v>214</v>
      </c>
      <c r="I203" s="7">
        <v>65</v>
      </c>
      <c r="J203" s="7"/>
      <c r="K203" s="7"/>
      <c r="L203" s="8" t="s">
        <v>215</v>
      </c>
      <c r="M203" s="8" t="s">
        <v>237</v>
      </c>
      <c r="N203" s="7" t="s">
        <v>72</v>
      </c>
      <c r="O203" s="7"/>
      <c r="P203" s="7"/>
      <c r="Q203" s="7"/>
      <c r="R203" s="7"/>
      <c r="S203" s="7"/>
      <c r="T203" s="7"/>
      <c r="U203" s="7"/>
      <c r="V203" s="8"/>
      <c r="W203" s="9">
        <f t="shared" si="3"/>
        <v>0</v>
      </c>
    </row>
    <row r="204" spans="1:23" ht="18.649999999999999" customHeight="1" x14ac:dyDescent="0.35">
      <c r="A204" s="6">
        <v>46184</v>
      </c>
      <c r="B204" s="7" t="s">
        <v>62</v>
      </c>
      <c r="C204" s="7">
        <v>19</v>
      </c>
      <c r="D204" s="6">
        <v>46181</v>
      </c>
      <c r="E204" s="8" t="s">
        <v>221</v>
      </c>
      <c r="F204" s="7" t="s">
        <v>53</v>
      </c>
      <c r="G204" s="8" t="s">
        <v>115</v>
      </c>
      <c r="H204" s="8" t="s">
        <v>116</v>
      </c>
      <c r="I204" s="7">
        <v>80</v>
      </c>
      <c r="J204" s="7"/>
      <c r="K204" s="7"/>
      <c r="L204" s="8" t="s">
        <v>185</v>
      </c>
      <c r="M204" s="8" t="s">
        <v>238</v>
      </c>
      <c r="N204" s="7" t="s">
        <v>72</v>
      </c>
      <c r="O204" s="7"/>
      <c r="P204" s="7"/>
      <c r="Q204" s="7"/>
      <c r="R204" s="7"/>
      <c r="S204" s="7"/>
      <c r="T204" s="7"/>
      <c r="U204" s="7"/>
      <c r="V204" s="8"/>
      <c r="W204" s="9">
        <f t="shared" si="3"/>
        <v>0</v>
      </c>
    </row>
    <row r="205" spans="1:23" ht="18.649999999999999" customHeight="1" x14ac:dyDescent="0.35">
      <c r="A205" s="6">
        <v>46184</v>
      </c>
      <c r="B205" s="7" t="s">
        <v>62</v>
      </c>
      <c r="C205" s="7">
        <v>19</v>
      </c>
      <c r="D205" s="6">
        <v>46181</v>
      </c>
      <c r="E205" s="8" t="s">
        <v>221</v>
      </c>
      <c r="F205" s="7" t="s">
        <v>39</v>
      </c>
      <c r="G205" s="8" t="s">
        <v>64</v>
      </c>
      <c r="H205" s="8" t="s">
        <v>41</v>
      </c>
      <c r="I205" s="7">
        <v>20</v>
      </c>
      <c r="J205" s="7"/>
      <c r="K205" s="7"/>
      <c r="L205" s="8" t="s">
        <v>42</v>
      </c>
      <c r="M205" s="8" t="s">
        <v>65</v>
      </c>
      <c r="N205" s="7" t="s">
        <v>72</v>
      </c>
      <c r="O205" s="7"/>
      <c r="P205" s="7"/>
      <c r="Q205" s="7"/>
      <c r="R205" s="7"/>
      <c r="S205" s="7"/>
      <c r="T205" s="7"/>
      <c r="U205" s="7"/>
      <c r="V205" s="8"/>
      <c r="W205" s="9">
        <f t="shared" si="3"/>
        <v>0</v>
      </c>
    </row>
    <row r="206" spans="1:23" ht="18.649999999999999" customHeight="1" x14ac:dyDescent="0.35">
      <c r="A206" s="6">
        <v>46185</v>
      </c>
      <c r="B206" s="7" t="s">
        <v>66</v>
      </c>
      <c r="C206" s="7">
        <v>19</v>
      </c>
      <c r="D206" s="6">
        <v>46181</v>
      </c>
      <c r="E206" s="8" t="s">
        <v>221</v>
      </c>
      <c r="F206" s="7" t="s">
        <v>46</v>
      </c>
      <c r="G206" s="8" t="s">
        <v>67</v>
      </c>
      <c r="H206" s="8" t="s">
        <v>68</v>
      </c>
      <c r="I206" s="7">
        <v>45</v>
      </c>
      <c r="J206" s="7">
        <v>1800</v>
      </c>
      <c r="K206" s="7" t="s">
        <v>49</v>
      </c>
      <c r="L206" s="8" t="s">
        <v>42</v>
      </c>
      <c r="M206" s="8" t="s">
        <v>69</v>
      </c>
      <c r="N206" s="7" t="s">
        <v>72</v>
      </c>
      <c r="O206" s="7"/>
      <c r="P206" s="7"/>
      <c r="Q206" s="7"/>
      <c r="R206" s="7"/>
      <c r="S206" s="7"/>
      <c r="T206" s="7"/>
      <c r="U206" s="7"/>
      <c r="V206" s="8"/>
      <c r="W206" s="9">
        <f t="shared" si="3"/>
        <v>0</v>
      </c>
    </row>
    <row r="207" spans="1:23" ht="18.649999999999999" customHeight="1" x14ac:dyDescent="0.35">
      <c r="A207" s="6">
        <v>46185</v>
      </c>
      <c r="B207" s="7" t="s">
        <v>66</v>
      </c>
      <c r="C207" s="7">
        <v>19</v>
      </c>
      <c r="D207" s="6">
        <v>46181</v>
      </c>
      <c r="E207" s="8" t="s">
        <v>221</v>
      </c>
      <c r="F207" s="7" t="s">
        <v>34</v>
      </c>
      <c r="G207" s="8" t="s">
        <v>70</v>
      </c>
      <c r="H207" s="8" t="s">
        <v>34</v>
      </c>
      <c r="I207" s="7">
        <v>35</v>
      </c>
      <c r="J207" s="7"/>
      <c r="K207" s="7"/>
      <c r="L207" s="8" t="s">
        <v>36</v>
      </c>
      <c r="M207" s="8" t="s">
        <v>71</v>
      </c>
      <c r="N207" s="7" t="s">
        <v>72</v>
      </c>
      <c r="O207" s="7"/>
      <c r="P207" s="7"/>
      <c r="Q207" s="7"/>
      <c r="R207" s="7"/>
      <c r="S207" s="7"/>
      <c r="T207" s="7"/>
      <c r="U207" s="7"/>
      <c r="V207" s="8"/>
      <c r="W207" s="9">
        <f t="shared" si="3"/>
        <v>0</v>
      </c>
    </row>
    <row r="208" spans="1:23" ht="18.649999999999999" customHeight="1" x14ac:dyDescent="0.35">
      <c r="A208" s="6">
        <v>46186</v>
      </c>
      <c r="B208" s="7" t="s">
        <v>73</v>
      </c>
      <c r="C208" s="7">
        <v>19</v>
      </c>
      <c r="D208" s="6">
        <v>46181</v>
      </c>
      <c r="E208" s="8" t="s">
        <v>221</v>
      </c>
      <c r="F208" s="7" t="s">
        <v>39</v>
      </c>
      <c r="G208" s="8" t="s">
        <v>74</v>
      </c>
      <c r="H208" s="8" t="s">
        <v>41</v>
      </c>
      <c r="I208" s="7">
        <v>145</v>
      </c>
      <c r="J208" s="7"/>
      <c r="K208" s="7"/>
      <c r="L208" s="8" t="s">
        <v>239</v>
      </c>
      <c r="M208" s="8" t="s">
        <v>240</v>
      </c>
      <c r="N208" s="7" t="s">
        <v>72</v>
      </c>
      <c r="O208" s="7"/>
      <c r="P208" s="7"/>
      <c r="Q208" s="7"/>
      <c r="R208" s="7"/>
      <c r="S208" s="7"/>
      <c r="T208" s="7"/>
      <c r="U208" s="7"/>
      <c r="V208" s="8"/>
      <c r="W208" s="9">
        <f t="shared" si="3"/>
        <v>0</v>
      </c>
    </row>
    <row r="209" spans="1:23" ht="18.649999999999999" customHeight="1" x14ac:dyDescent="0.35">
      <c r="A209" s="6">
        <v>46187</v>
      </c>
      <c r="B209" s="7" t="s">
        <v>77</v>
      </c>
      <c r="C209" s="7">
        <v>19</v>
      </c>
      <c r="D209" s="6">
        <v>46181</v>
      </c>
      <c r="E209" s="8" t="s">
        <v>221</v>
      </c>
      <c r="F209" s="7" t="s">
        <v>53</v>
      </c>
      <c r="G209" s="8" t="s">
        <v>241</v>
      </c>
      <c r="H209" s="8" t="s">
        <v>198</v>
      </c>
      <c r="I209" s="7">
        <v>255</v>
      </c>
      <c r="J209" s="7"/>
      <c r="K209" s="7"/>
      <c r="L209" s="8" t="s">
        <v>242</v>
      </c>
      <c r="M209" s="8" t="s">
        <v>243</v>
      </c>
      <c r="N209" s="7" t="s">
        <v>72</v>
      </c>
      <c r="O209" s="7"/>
      <c r="P209" s="7"/>
      <c r="Q209" s="7"/>
      <c r="R209" s="7"/>
      <c r="S209" s="7"/>
      <c r="T209" s="7"/>
      <c r="U209" s="7"/>
      <c r="V209" s="8"/>
      <c r="W209" s="9">
        <f t="shared" si="3"/>
        <v>0</v>
      </c>
    </row>
    <row r="210" spans="1:23" ht="18.649999999999999" customHeight="1" x14ac:dyDescent="0.35">
      <c r="A210" s="6">
        <v>46188</v>
      </c>
      <c r="B210" s="7" t="s">
        <v>32</v>
      </c>
      <c r="C210" s="7">
        <v>20</v>
      </c>
      <c r="D210" s="6">
        <v>46188</v>
      </c>
      <c r="E210" s="8" t="s">
        <v>190</v>
      </c>
      <c r="F210" s="7" t="s">
        <v>34</v>
      </c>
      <c r="G210" s="8" t="s">
        <v>35</v>
      </c>
      <c r="H210" s="8" t="s">
        <v>34</v>
      </c>
      <c r="I210" s="7">
        <v>45</v>
      </c>
      <c r="J210" s="7"/>
      <c r="K210" s="7"/>
      <c r="L210" s="8" t="s">
        <v>36</v>
      </c>
      <c r="M210" s="8" t="s">
        <v>37</v>
      </c>
      <c r="N210" s="7" t="s">
        <v>72</v>
      </c>
      <c r="O210" s="7"/>
      <c r="P210" s="7"/>
      <c r="Q210" s="7"/>
      <c r="R210" s="7"/>
      <c r="S210" s="7"/>
      <c r="T210" s="7"/>
      <c r="U210" s="7"/>
      <c r="V210" s="8"/>
      <c r="W210" s="9">
        <f t="shared" si="3"/>
        <v>0</v>
      </c>
    </row>
    <row r="211" spans="1:23" ht="18.649999999999999" customHeight="1" x14ac:dyDescent="0.35">
      <c r="A211" s="6">
        <v>46188</v>
      </c>
      <c r="B211" s="7" t="s">
        <v>32</v>
      </c>
      <c r="C211" s="7">
        <v>20</v>
      </c>
      <c r="D211" s="6">
        <v>46188</v>
      </c>
      <c r="E211" s="8" t="s">
        <v>190</v>
      </c>
      <c r="F211" s="7" t="s">
        <v>39</v>
      </c>
      <c r="G211" s="8" t="s">
        <v>40</v>
      </c>
      <c r="H211" s="8" t="s">
        <v>41</v>
      </c>
      <c r="I211" s="7">
        <v>30</v>
      </c>
      <c r="J211" s="7"/>
      <c r="K211" s="7"/>
      <c r="L211" s="8" t="s">
        <v>42</v>
      </c>
      <c r="M211" s="8" t="s">
        <v>43</v>
      </c>
      <c r="N211" s="7" t="s">
        <v>72</v>
      </c>
      <c r="O211" s="7"/>
      <c r="P211" s="7"/>
      <c r="Q211" s="7"/>
      <c r="R211" s="7"/>
      <c r="S211" s="7"/>
      <c r="T211" s="7"/>
      <c r="U211" s="7"/>
      <c r="V211" s="8"/>
      <c r="W211" s="9">
        <f t="shared" si="3"/>
        <v>0</v>
      </c>
    </row>
    <row r="212" spans="1:23" ht="18.649999999999999" customHeight="1" x14ac:dyDescent="0.35">
      <c r="A212" s="6">
        <v>46189</v>
      </c>
      <c r="B212" s="7" t="s">
        <v>45</v>
      </c>
      <c r="C212" s="7">
        <v>20</v>
      </c>
      <c r="D212" s="6">
        <v>46188</v>
      </c>
      <c r="E212" s="8" t="s">
        <v>190</v>
      </c>
      <c r="F212" s="7" t="s">
        <v>46</v>
      </c>
      <c r="G212" s="8" t="s">
        <v>140</v>
      </c>
      <c r="H212" s="8" t="s">
        <v>94</v>
      </c>
      <c r="I212" s="7">
        <v>40</v>
      </c>
      <c r="J212" s="7">
        <v>1600</v>
      </c>
      <c r="K212" s="7" t="s">
        <v>49</v>
      </c>
      <c r="L212" s="8" t="s">
        <v>95</v>
      </c>
      <c r="M212" s="8" t="s">
        <v>192</v>
      </c>
      <c r="N212" s="7" t="s">
        <v>72</v>
      </c>
      <c r="O212" s="7"/>
      <c r="P212" s="7"/>
      <c r="Q212" s="7"/>
      <c r="R212" s="7"/>
      <c r="S212" s="7"/>
      <c r="T212" s="7"/>
      <c r="U212" s="7"/>
      <c r="V212" s="8"/>
      <c r="W212" s="9">
        <f t="shared" si="3"/>
        <v>0</v>
      </c>
    </row>
    <row r="213" spans="1:23" ht="18.649999999999999" customHeight="1" x14ac:dyDescent="0.35">
      <c r="A213" s="6">
        <v>46189</v>
      </c>
      <c r="B213" s="7" t="s">
        <v>45</v>
      </c>
      <c r="C213" s="7">
        <v>20</v>
      </c>
      <c r="D213" s="6">
        <v>46188</v>
      </c>
      <c r="E213" s="8" t="s">
        <v>190</v>
      </c>
      <c r="F213" s="7" t="s">
        <v>53</v>
      </c>
      <c r="G213" s="8" t="s">
        <v>97</v>
      </c>
      <c r="H213" s="8" t="s">
        <v>94</v>
      </c>
      <c r="I213" s="7">
        <v>55</v>
      </c>
      <c r="J213" s="7"/>
      <c r="K213" s="7"/>
      <c r="L213" s="8" t="s">
        <v>95</v>
      </c>
      <c r="M213" s="8" t="s">
        <v>192</v>
      </c>
      <c r="N213" s="7" t="s">
        <v>72</v>
      </c>
      <c r="O213" s="7"/>
      <c r="P213" s="7"/>
      <c r="Q213" s="7"/>
      <c r="R213" s="7"/>
      <c r="S213" s="7"/>
      <c r="T213" s="7"/>
      <c r="U213" s="7"/>
      <c r="V213" s="8"/>
      <c r="W213" s="9">
        <f t="shared" si="3"/>
        <v>0</v>
      </c>
    </row>
    <row r="214" spans="1:23" ht="18.649999999999999" customHeight="1" x14ac:dyDescent="0.35">
      <c r="A214" s="6">
        <v>46190</v>
      </c>
      <c r="B214" s="7" t="s">
        <v>57</v>
      </c>
      <c r="C214" s="7">
        <v>20</v>
      </c>
      <c r="D214" s="6">
        <v>46188</v>
      </c>
      <c r="E214" s="8" t="s">
        <v>190</v>
      </c>
      <c r="F214" s="7" t="s">
        <v>39</v>
      </c>
      <c r="G214" s="8" t="s">
        <v>58</v>
      </c>
      <c r="H214" s="8" t="s">
        <v>94</v>
      </c>
      <c r="I214" s="7">
        <v>45</v>
      </c>
      <c r="J214" s="7"/>
      <c r="K214" s="7"/>
      <c r="L214" s="8" t="s">
        <v>42</v>
      </c>
      <c r="M214" s="8" t="s">
        <v>192</v>
      </c>
      <c r="N214" s="7" t="s">
        <v>72</v>
      </c>
      <c r="O214" s="7"/>
      <c r="P214" s="7"/>
      <c r="Q214" s="7"/>
      <c r="R214" s="7"/>
      <c r="S214" s="7"/>
      <c r="T214" s="7"/>
      <c r="U214" s="7"/>
      <c r="V214" s="8"/>
      <c r="W214" s="9">
        <f t="shared" si="3"/>
        <v>0</v>
      </c>
    </row>
    <row r="215" spans="1:23" ht="18.649999999999999" customHeight="1" x14ac:dyDescent="0.35">
      <c r="A215" s="6">
        <v>46191</v>
      </c>
      <c r="B215" s="7" t="s">
        <v>62</v>
      </c>
      <c r="C215" s="7">
        <v>20</v>
      </c>
      <c r="D215" s="6">
        <v>46188</v>
      </c>
      <c r="E215" s="8" t="s">
        <v>190</v>
      </c>
      <c r="F215" s="7" t="s">
        <v>53</v>
      </c>
      <c r="G215" s="8" t="s">
        <v>54</v>
      </c>
      <c r="H215" s="8" t="s">
        <v>94</v>
      </c>
      <c r="I215" s="7">
        <v>60</v>
      </c>
      <c r="J215" s="7"/>
      <c r="K215" s="7"/>
      <c r="L215" s="8" t="s">
        <v>42</v>
      </c>
      <c r="M215" s="8" t="s">
        <v>192</v>
      </c>
      <c r="N215" s="7" t="s">
        <v>72</v>
      </c>
      <c r="O215" s="7"/>
      <c r="P215" s="7"/>
      <c r="Q215" s="7"/>
      <c r="R215" s="7"/>
      <c r="S215" s="7"/>
      <c r="T215" s="7"/>
      <c r="U215" s="7"/>
      <c r="V215" s="8"/>
      <c r="W215" s="9">
        <f t="shared" si="3"/>
        <v>0</v>
      </c>
    </row>
    <row r="216" spans="1:23" ht="18.649999999999999" customHeight="1" x14ac:dyDescent="0.35">
      <c r="A216" s="6">
        <v>46191</v>
      </c>
      <c r="B216" s="7" t="s">
        <v>62</v>
      </c>
      <c r="C216" s="7">
        <v>20</v>
      </c>
      <c r="D216" s="6">
        <v>46188</v>
      </c>
      <c r="E216" s="8" t="s">
        <v>190</v>
      </c>
      <c r="F216" s="7" t="s">
        <v>39</v>
      </c>
      <c r="G216" s="8" t="s">
        <v>102</v>
      </c>
      <c r="H216" s="8" t="s">
        <v>94</v>
      </c>
      <c r="I216" s="7">
        <v>15</v>
      </c>
      <c r="J216" s="7"/>
      <c r="K216" s="7"/>
      <c r="L216" s="8" t="s">
        <v>95</v>
      </c>
      <c r="M216" s="8" t="s">
        <v>192</v>
      </c>
      <c r="N216" s="7" t="s">
        <v>72</v>
      </c>
      <c r="O216" s="7"/>
      <c r="P216" s="7"/>
      <c r="Q216" s="7"/>
      <c r="R216" s="7"/>
      <c r="S216" s="7"/>
      <c r="T216" s="7"/>
      <c r="U216" s="7"/>
      <c r="V216" s="8"/>
      <c r="W216" s="9">
        <f t="shared" si="3"/>
        <v>0</v>
      </c>
    </row>
    <row r="217" spans="1:23" ht="18.649999999999999" customHeight="1" x14ac:dyDescent="0.35">
      <c r="A217" s="6">
        <v>46192</v>
      </c>
      <c r="B217" s="7" t="s">
        <v>66</v>
      </c>
      <c r="C217" s="7">
        <v>20</v>
      </c>
      <c r="D217" s="6">
        <v>46188</v>
      </c>
      <c r="E217" s="8" t="s">
        <v>190</v>
      </c>
      <c r="F217" s="7" t="s">
        <v>46</v>
      </c>
      <c r="G217" s="8" t="s">
        <v>194</v>
      </c>
      <c r="H217" s="8" t="s">
        <v>94</v>
      </c>
      <c r="I217" s="7">
        <v>40</v>
      </c>
      <c r="J217" s="7">
        <v>1500</v>
      </c>
      <c r="K217" s="7" t="s">
        <v>49</v>
      </c>
      <c r="L217" s="8" t="s">
        <v>95</v>
      </c>
      <c r="M217" s="8" t="s">
        <v>192</v>
      </c>
      <c r="N217" s="7" t="s">
        <v>72</v>
      </c>
      <c r="O217" s="7"/>
      <c r="P217" s="7"/>
      <c r="Q217" s="7"/>
      <c r="R217" s="7"/>
      <c r="S217" s="7"/>
      <c r="T217" s="7"/>
      <c r="U217" s="7"/>
      <c r="V217" s="8"/>
      <c r="W217" s="9">
        <f t="shared" si="3"/>
        <v>0</v>
      </c>
    </row>
    <row r="218" spans="1:23" ht="18.649999999999999" customHeight="1" x14ac:dyDescent="0.35">
      <c r="A218" s="6">
        <v>46192</v>
      </c>
      <c r="B218" s="7" t="s">
        <v>66</v>
      </c>
      <c r="C218" s="7">
        <v>20</v>
      </c>
      <c r="D218" s="6">
        <v>46188</v>
      </c>
      <c r="E218" s="8" t="s">
        <v>190</v>
      </c>
      <c r="F218" s="7" t="s">
        <v>34</v>
      </c>
      <c r="G218" s="8" t="s">
        <v>70</v>
      </c>
      <c r="H218" s="8" t="s">
        <v>34</v>
      </c>
      <c r="I218" s="7">
        <v>35</v>
      </c>
      <c r="J218" s="7"/>
      <c r="K218" s="7"/>
      <c r="L218" s="8" t="s">
        <v>36</v>
      </c>
      <c r="M218" s="8" t="s">
        <v>71</v>
      </c>
      <c r="N218" s="7" t="s">
        <v>72</v>
      </c>
      <c r="O218" s="7"/>
      <c r="P218" s="7"/>
      <c r="Q218" s="7"/>
      <c r="R218" s="7"/>
      <c r="S218" s="7"/>
      <c r="T218" s="7"/>
      <c r="U218" s="7"/>
      <c r="V218" s="8"/>
      <c r="W218" s="9">
        <f t="shared" si="3"/>
        <v>0</v>
      </c>
    </row>
    <row r="219" spans="1:23" ht="18.649999999999999" customHeight="1" x14ac:dyDescent="0.35">
      <c r="A219" s="6">
        <v>46193</v>
      </c>
      <c r="B219" s="7" t="s">
        <v>73</v>
      </c>
      <c r="C219" s="7">
        <v>20</v>
      </c>
      <c r="D219" s="6">
        <v>46188</v>
      </c>
      <c r="E219" s="8" t="s">
        <v>190</v>
      </c>
      <c r="F219" s="7" t="s">
        <v>39</v>
      </c>
      <c r="G219" s="8" t="s">
        <v>74</v>
      </c>
      <c r="H219" s="8" t="s">
        <v>94</v>
      </c>
      <c r="I219" s="7">
        <v>105</v>
      </c>
      <c r="J219" s="7"/>
      <c r="K219" s="7"/>
      <c r="L219" s="8" t="s">
        <v>42</v>
      </c>
      <c r="M219" s="8" t="s">
        <v>192</v>
      </c>
      <c r="N219" s="7" t="s">
        <v>72</v>
      </c>
      <c r="O219" s="7"/>
      <c r="P219" s="7"/>
      <c r="Q219" s="7"/>
      <c r="R219" s="7"/>
      <c r="S219" s="7"/>
      <c r="T219" s="7"/>
      <c r="U219" s="7"/>
      <c r="V219" s="8"/>
      <c r="W219" s="9">
        <f t="shared" si="3"/>
        <v>0</v>
      </c>
    </row>
    <row r="220" spans="1:23" ht="18.649999999999999" customHeight="1" x14ac:dyDescent="0.35">
      <c r="A220" s="6">
        <v>46194</v>
      </c>
      <c r="B220" s="7" t="s">
        <v>77</v>
      </c>
      <c r="C220" s="7">
        <v>20</v>
      </c>
      <c r="D220" s="6">
        <v>46188</v>
      </c>
      <c r="E220" s="8" t="s">
        <v>190</v>
      </c>
      <c r="F220" s="7" t="s">
        <v>53</v>
      </c>
      <c r="G220" s="8" t="s">
        <v>108</v>
      </c>
      <c r="H220" s="8" t="s">
        <v>94</v>
      </c>
      <c r="I220" s="7">
        <v>200</v>
      </c>
      <c r="J220" s="7"/>
      <c r="K220" s="7"/>
      <c r="L220" s="8" t="s">
        <v>42</v>
      </c>
      <c r="M220" s="8" t="s">
        <v>192</v>
      </c>
      <c r="N220" s="7" t="s">
        <v>72</v>
      </c>
      <c r="O220" s="7"/>
      <c r="P220" s="7"/>
      <c r="Q220" s="7"/>
      <c r="R220" s="7"/>
      <c r="S220" s="7"/>
      <c r="T220" s="7"/>
      <c r="U220" s="7"/>
      <c r="V220" s="8"/>
      <c r="W220" s="9">
        <f t="shared" si="3"/>
        <v>0</v>
      </c>
    </row>
    <row r="221" spans="1:23" ht="18.649999999999999" customHeight="1" x14ac:dyDescent="0.35">
      <c r="A221" s="6">
        <v>46195</v>
      </c>
      <c r="B221" s="7" t="s">
        <v>32</v>
      </c>
      <c r="C221" s="7">
        <v>21</v>
      </c>
      <c r="D221" s="6">
        <v>46195</v>
      </c>
      <c r="E221" s="8" t="s">
        <v>244</v>
      </c>
      <c r="F221" s="7" t="s">
        <v>34</v>
      </c>
      <c r="G221" s="8" t="s">
        <v>35</v>
      </c>
      <c r="H221" s="8" t="s">
        <v>34</v>
      </c>
      <c r="I221" s="7">
        <v>45</v>
      </c>
      <c r="J221" s="7"/>
      <c r="K221" s="7"/>
      <c r="L221" s="8" t="s">
        <v>36</v>
      </c>
      <c r="M221" s="8" t="s">
        <v>37</v>
      </c>
      <c r="N221" s="7" t="s">
        <v>72</v>
      </c>
      <c r="O221" s="7"/>
      <c r="P221" s="7"/>
      <c r="Q221" s="7"/>
      <c r="R221" s="7"/>
      <c r="S221" s="7"/>
      <c r="T221" s="7"/>
      <c r="U221" s="7"/>
      <c r="V221" s="8"/>
      <c r="W221" s="9">
        <f t="shared" si="3"/>
        <v>0</v>
      </c>
    </row>
    <row r="222" spans="1:23" ht="18.649999999999999" customHeight="1" x14ac:dyDescent="0.35">
      <c r="A222" s="6">
        <v>46195</v>
      </c>
      <c r="B222" s="7" t="s">
        <v>32</v>
      </c>
      <c r="C222" s="7">
        <v>21</v>
      </c>
      <c r="D222" s="6">
        <v>46195</v>
      </c>
      <c r="E222" s="8" t="s">
        <v>244</v>
      </c>
      <c r="F222" s="7" t="s">
        <v>39</v>
      </c>
      <c r="G222" s="8" t="s">
        <v>40</v>
      </c>
      <c r="H222" s="8" t="s">
        <v>41</v>
      </c>
      <c r="I222" s="7">
        <v>40</v>
      </c>
      <c r="J222" s="7"/>
      <c r="K222" s="7"/>
      <c r="L222" s="8" t="s">
        <v>42</v>
      </c>
      <c r="M222" s="8" t="s">
        <v>43</v>
      </c>
      <c r="N222" s="7" t="s">
        <v>72</v>
      </c>
      <c r="O222" s="7"/>
      <c r="P222" s="7"/>
      <c r="Q222" s="7"/>
      <c r="R222" s="7"/>
      <c r="S222" s="7"/>
      <c r="T222" s="7"/>
      <c r="U222" s="7"/>
      <c r="V222" s="8"/>
      <c r="W222" s="9">
        <f t="shared" si="3"/>
        <v>0</v>
      </c>
    </row>
    <row r="223" spans="1:23" ht="18.649999999999999" customHeight="1" x14ac:dyDescent="0.35">
      <c r="A223" s="6">
        <v>46196</v>
      </c>
      <c r="B223" s="7" t="s">
        <v>45</v>
      </c>
      <c r="C223" s="7">
        <v>21</v>
      </c>
      <c r="D223" s="6">
        <v>46195</v>
      </c>
      <c r="E223" s="8" t="s">
        <v>244</v>
      </c>
      <c r="F223" s="7" t="s">
        <v>46</v>
      </c>
      <c r="G223" s="8" t="s">
        <v>47</v>
      </c>
      <c r="H223" s="8" t="s">
        <v>48</v>
      </c>
      <c r="I223" s="7">
        <v>45</v>
      </c>
      <c r="J223" s="7">
        <v>2000</v>
      </c>
      <c r="K223" s="7" t="s">
        <v>49</v>
      </c>
      <c r="L223" s="8" t="s">
        <v>50</v>
      </c>
      <c r="M223" s="8" t="s">
        <v>51</v>
      </c>
      <c r="N223" s="7" t="s">
        <v>72</v>
      </c>
      <c r="O223" s="7"/>
      <c r="P223" s="7"/>
      <c r="Q223" s="7"/>
      <c r="R223" s="7"/>
      <c r="S223" s="7"/>
      <c r="T223" s="7"/>
      <c r="U223" s="7"/>
      <c r="V223" s="8"/>
      <c r="W223" s="9">
        <f t="shared" si="3"/>
        <v>0</v>
      </c>
    </row>
    <row r="224" spans="1:23" ht="18.649999999999999" customHeight="1" x14ac:dyDescent="0.35">
      <c r="A224" s="6">
        <v>46196</v>
      </c>
      <c r="B224" s="7" t="s">
        <v>45</v>
      </c>
      <c r="C224" s="7">
        <v>21</v>
      </c>
      <c r="D224" s="6">
        <v>46195</v>
      </c>
      <c r="E224" s="8" t="s">
        <v>244</v>
      </c>
      <c r="F224" s="7" t="s">
        <v>53</v>
      </c>
      <c r="G224" s="8" t="s">
        <v>54</v>
      </c>
      <c r="H224" s="8" t="s">
        <v>41</v>
      </c>
      <c r="I224" s="7">
        <v>60</v>
      </c>
      <c r="J224" s="7"/>
      <c r="K224" s="7"/>
      <c r="L224" s="8" t="s">
        <v>55</v>
      </c>
      <c r="M224" s="8" t="s">
        <v>56</v>
      </c>
      <c r="N224" s="7" t="s">
        <v>72</v>
      </c>
      <c r="O224" s="7"/>
      <c r="P224" s="7"/>
      <c r="Q224" s="7"/>
      <c r="R224" s="7"/>
      <c r="S224" s="7"/>
      <c r="T224" s="7"/>
      <c r="U224" s="7"/>
      <c r="V224" s="8"/>
      <c r="W224" s="9">
        <f t="shared" si="3"/>
        <v>0</v>
      </c>
    </row>
    <row r="225" spans="1:23" ht="18.649999999999999" customHeight="1" x14ac:dyDescent="0.35">
      <c r="A225" s="6">
        <v>46197</v>
      </c>
      <c r="B225" s="7" t="s">
        <v>57</v>
      </c>
      <c r="C225" s="7">
        <v>21</v>
      </c>
      <c r="D225" s="6">
        <v>46195</v>
      </c>
      <c r="E225" s="8" t="s">
        <v>244</v>
      </c>
      <c r="F225" s="7" t="s">
        <v>39</v>
      </c>
      <c r="G225" s="8" t="s">
        <v>112</v>
      </c>
      <c r="H225" s="8" t="s">
        <v>87</v>
      </c>
      <c r="I225" s="7">
        <v>70</v>
      </c>
      <c r="J225" s="7"/>
      <c r="K225" s="7"/>
      <c r="L225" s="8" t="s">
        <v>113</v>
      </c>
      <c r="M225" s="8" t="s">
        <v>245</v>
      </c>
      <c r="N225" s="7" t="s">
        <v>72</v>
      </c>
      <c r="O225" s="7"/>
      <c r="P225" s="7"/>
      <c r="Q225" s="7"/>
      <c r="R225" s="7"/>
      <c r="S225" s="7"/>
      <c r="T225" s="7"/>
      <c r="U225" s="7"/>
      <c r="V225" s="8"/>
      <c r="W225" s="9">
        <f t="shared" si="3"/>
        <v>0</v>
      </c>
    </row>
    <row r="226" spans="1:23" ht="18.649999999999999" customHeight="1" x14ac:dyDescent="0.35">
      <c r="A226" s="6">
        <v>46198</v>
      </c>
      <c r="B226" s="7" t="s">
        <v>62</v>
      </c>
      <c r="C226" s="7">
        <v>21</v>
      </c>
      <c r="D226" s="6">
        <v>46195</v>
      </c>
      <c r="E226" s="8" t="s">
        <v>244</v>
      </c>
      <c r="F226" s="7" t="s">
        <v>53</v>
      </c>
      <c r="G226" s="8" t="s">
        <v>246</v>
      </c>
      <c r="H226" s="8" t="s">
        <v>198</v>
      </c>
      <c r="I226" s="7">
        <v>80</v>
      </c>
      <c r="J226" s="7"/>
      <c r="K226" s="7"/>
      <c r="L226" s="8" t="s">
        <v>224</v>
      </c>
      <c r="M226" s="8" t="s">
        <v>247</v>
      </c>
      <c r="N226" s="7" t="s">
        <v>72</v>
      </c>
      <c r="O226" s="7"/>
      <c r="P226" s="7"/>
      <c r="Q226" s="7"/>
      <c r="R226" s="7"/>
      <c r="S226" s="7"/>
      <c r="T226" s="7"/>
      <c r="U226" s="7"/>
      <c r="V226" s="8"/>
      <c r="W226" s="9">
        <f t="shared" si="3"/>
        <v>0</v>
      </c>
    </row>
    <row r="227" spans="1:23" ht="18.649999999999999" customHeight="1" x14ac:dyDescent="0.35">
      <c r="A227" s="6">
        <v>46198</v>
      </c>
      <c r="B227" s="7" t="s">
        <v>62</v>
      </c>
      <c r="C227" s="7">
        <v>21</v>
      </c>
      <c r="D227" s="6">
        <v>46195</v>
      </c>
      <c r="E227" s="8" t="s">
        <v>244</v>
      </c>
      <c r="F227" s="7" t="s">
        <v>39</v>
      </c>
      <c r="G227" s="8" t="s">
        <v>64</v>
      </c>
      <c r="H227" s="8" t="s">
        <v>198</v>
      </c>
      <c r="I227" s="7">
        <v>35</v>
      </c>
      <c r="J227" s="7"/>
      <c r="K227" s="7"/>
      <c r="L227" s="8" t="s">
        <v>42</v>
      </c>
      <c r="M227" s="8" t="s">
        <v>192</v>
      </c>
      <c r="N227" s="7" t="s">
        <v>72</v>
      </c>
      <c r="O227" s="7"/>
      <c r="P227" s="7"/>
      <c r="Q227" s="7"/>
      <c r="R227" s="7"/>
      <c r="S227" s="7"/>
      <c r="T227" s="7"/>
      <c r="U227" s="7"/>
      <c r="V227" s="8"/>
      <c r="W227" s="9">
        <f t="shared" si="3"/>
        <v>0</v>
      </c>
    </row>
    <row r="228" spans="1:23" ht="18.649999999999999" customHeight="1" x14ac:dyDescent="0.35">
      <c r="A228" s="6">
        <v>46199</v>
      </c>
      <c r="B228" s="7" t="s">
        <v>66</v>
      </c>
      <c r="C228" s="7">
        <v>21</v>
      </c>
      <c r="D228" s="6">
        <v>46195</v>
      </c>
      <c r="E228" s="8" t="s">
        <v>244</v>
      </c>
      <c r="F228" s="7" t="s">
        <v>46</v>
      </c>
      <c r="G228" s="8" t="s">
        <v>67</v>
      </c>
      <c r="H228" s="8" t="s">
        <v>68</v>
      </c>
      <c r="I228" s="7">
        <v>45</v>
      </c>
      <c r="J228" s="7">
        <v>1800</v>
      </c>
      <c r="K228" s="7" t="s">
        <v>49</v>
      </c>
      <c r="L228" s="8" t="s">
        <v>42</v>
      </c>
      <c r="M228" s="8" t="s">
        <v>69</v>
      </c>
      <c r="N228" s="7" t="s">
        <v>72</v>
      </c>
      <c r="O228" s="7"/>
      <c r="P228" s="7"/>
      <c r="Q228" s="7"/>
      <c r="R228" s="7"/>
      <c r="S228" s="7"/>
      <c r="T228" s="7"/>
      <c r="U228" s="7"/>
      <c r="V228" s="8"/>
      <c r="W228" s="9">
        <f t="shared" si="3"/>
        <v>0</v>
      </c>
    </row>
    <row r="229" spans="1:23" ht="18.649999999999999" customHeight="1" x14ac:dyDescent="0.35">
      <c r="A229" s="6">
        <v>46199</v>
      </c>
      <c r="B229" s="7" t="s">
        <v>66</v>
      </c>
      <c r="C229" s="7">
        <v>21</v>
      </c>
      <c r="D229" s="6">
        <v>46195</v>
      </c>
      <c r="E229" s="8" t="s">
        <v>244</v>
      </c>
      <c r="F229" s="7" t="s">
        <v>34</v>
      </c>
      <c r="G229" s="8" t="s">
        <v>70</v>
      </c>
      <c r="H229" s="8" t="s">
        <v>34</v>
      </c>
      <c r="I229" s="7">
        <v>35</v>
      </c>
      <c r="J229" s="7"/>
      <c r="K229" s="7"/>
      <c r="L229" s="8" t="s">
        <v>36</v>
      </c>
      <c r="M229" s="8" t="s">
        <v>71</v>
      </c>
      <c r="N229" s="7" t="s">
        <v>72</v>
      </c>
      <c r="O229" s="7"/>
      <c r="P229" s="7"/>
      <c r="Q229" s="7"/>
      <c r="R229" s="7"/>
      <c r="S229" s="7"/>
      <c r="T229" s="7"/>
      <c r="U229" s="7"/>
      <c r="V229" s="8"/>
      <c r="W229" s="9">
        <f t="shared" si="3"/>
        <v>0</v>
      </c>
    </row>
    <row r="230" spans="1:23" ht="18.649999999999999" customHeight="1" x14ac:dyDescent="0.35">
      <c r="A230" s="6">
        <v>46200</v>
      </c>
      <c r="B230" s="7" t="s">
        <v>73</v>
      </c>
      <c r="C230" s="7">
        <v>21</v>
      </c>
      <c r="D230" s="6">
        <v>46195</v>
      </c>
      <c r="E230" s="8" t="s">
        <v>244</v>
      </c>
      <c r="F230" s="7" t="s">
        <v>39</v>
      </c>
      <c r="G230" s="8" t="s">
        <v>248</v>
      </c>
      <c r="H230" s="8" t="s">
        <v>198</v>
      </c>
      <c r="I230" s="7">
        <v>150</v>
      </c>
      <c r="J230" s="7"/>
      <c r="K230" s="7"/>
      <c r="L230" s="8" t="s">
        <v>249</v>
      </c>
      <c r="M230" s="8" t="s">
        <v>250</v>
      </c>
      <c r="N230" s="7" t="s">
        <v>72</v>
      </c>
      <c r="O230" s="7"/>
      <c r="P230" s="7"/>
      <c r="Q230" s="7"/>
      <c r="R230" s="7"/>
      <c r="S230" s="7"/>
      <c r="T230" s="7"/>
      <c r="U230" s="7"/>
      <c r="V230" s="8"/>
      <c r="W230" s="9">
        <f t="shared" si="3"/>
        <v>0</v>
      </c>
    </row>
    <row r="231" spans="1:23" ht="18.649999999999999" customHeight="1" x14ac:dyDescent="0.35">
      <c r="A231" s="6">
        <v>46201</v>
      </c>
      <c r="B231" s="7" t="s">
        <v>77</v>
      </c>
      <c r="C231" s="7">
        <v>21</v>
      </c>
      <c r="D231" s="6">
        <v>46195</v>
      </c>
      <c r="E231" s="8" t="s">
        <v>244</v>
      </c>
      <c r="F231" s="7" t="s">
        <v>53</v>
      </c>
      <c r="G231" s="8" t="s">
        <v>251</v>
      </c>
      <c r="H231" s="8" t="s">
        <v>252</v>
      </c>
      <c r="I231" s="7">
        <v>195</v>
      </c>
      <c r="J231" s="7"/>
      <c r="K231" s="7"/>
      <c r="L231" s="8" t="s">
        <v>253</v>
      </c>
      <c r="M231" s="8" t="s">
        <v>254</v>
      </c>
      <c r="N231" s="7" t="s">
        <v>72</v>
      </c>
      <c r="O231" s="7"/>
      <c r="P231" s="7"/>
      <c r="Q231" s="7"/>
      <c r="R231" s="7"/>
      <c r="S231" s="7"/>
      <c r="T231" s="7"/>
      <c r="U231" s="7"/>
      <c r="V231" s="8"/>
      <c r="W231" s="9">
        <f t="shared" si="3"/>
        <v>0</v>
      </c>
    </row>
    <row r="232" spans="1:23" ht="18.649999999999999" customHeight="1" x14ac:dyDescent="0.35">
      <c r="A232" s="6">
        <v>46202</v>
      </c>
      <c r="B232" s="7" t="s">
        <v>32</v>
      </c>
      <c r="C232" s="7">
        <v>22</v>
      </c>
      <c r="D232" s="6">
        <v>46202</v>
      </c>
      <c r="E232" s="8" t="s">
        <v>244</v>
      </c>
      <c r="F232" s="7" t="s">
        <v>34</v>
      </c>
      <c r="G232" s="8" t="s">
        <v>35</v>
      </c>
      <c r="H232" s="8" t="s">
        <v>34</v>
      </c>
      <c r="I232" s="7">
        <v>45</v>
      </c>
      <c r="J232" s="7"/>
      <c r="K232" s="7"/>
      <c r="L232" s="8" t="s">
        <v>36</v>
      </c>
      <c r="M232" s="8" t="s">
        <v>37</v>
      </c>
      <c r="N232" s="7" t="s">
        <v>72</v>
      </c>
      <c r="O232" s="7"/>
      <c r="P232" s="7"/>
      <c r="Q232" s="7"/>
      <c r="R232" s="7"/>
      <c r="S232" s="7"/>
      <c r="T232" s="7"/>
      <c r="U232" s="7"/>
      <c r="V232" s="8"/>
      <c r="W232" s="9">
        <f t="shared" si="3"/>
        <v>0</v>
      </c>
    </row>
    <row r="233" spans="1:23" ht="18.649999999999999" customHeight="1" x14ac:dyDescent="0.35">
      <c r="A233" s="6">
        <v>46202</v>
      </c>
      <c r="B233" s="7" t="s">
        <v>32</v>
      </c>
      <c r="C233" s="7">
        <v>22</v>
      </c>
      <c r="D233" s="6">
        <v>46202</v>
      </c>
      <c r="E233" s="8" t="s">
        <v>244</v>
      </c>
      <c r="F233" s="7" t="s">
        <v>39</v>
      </c>
      <c r="G233" s="8" t="s">
        <v>40</v>
      </c>
      <c r="H233" s="8" t="s">
        <v>41</v>
      </c>
      <c r="I233" s="7">
        <v>40</v>
      </c>
      <c r="J233" s="7"/>
      <c r="K233" s="7"/>
      <c r="L233" s="8" t="s">
        <v>42</v>
      </c>
      <c r="M233" s="8" t="s">
        <v>43</v>
      </c>
      <c r="N233" s="7" t="s">
        <v>72</v>
      </c>
      <c r="O233" s="7"/>
      <c r="P233" s="7"/>
      <c r="Q233" s="7"/>
      <c r="R233" s="7"/>
      <c r="S233" s="7"/>
      <c r="T233" s="7"/>
      <c r="U233" s="7"/>
      <c r="V233" s="8"/>
      <c r="W233" s="9">
        <f t="shared" si="3"/>
        <v>0</v>
      </c>
    </row>
    <row r="234" spans="1:23" ht="18.649999999999999" customHeight="1" x14ac:dyDescent="0.35">
      <c r="A234" s="6">
        <v>46203</v>
      </c>
      <c r="B234" s="7" t="s">
        <v>45</v>
      </c>
      <c r="C234" s="7">
        <v>22</v>
      </c>
      <c r="D234" s="6">
        <v>46202</v>
      </c>
      <c r="E234" s="8" t="s">
        <v>244</v>
      </c>
      <c r="F234" s="7" t="s">
        <v>46</v>
      </c>
      <c r="G234" s="8" t="s">
        <v>47</v>
      </c>
      <c r="H234" s="8" t="s">
        <v>48</v>
      </c>
      <c r="I234" s="7">
        <v>45</v>
      </c>
      <c r="J234" s="7">
        <v>2000</v>
      </c>
      <c r="K234" s="7" t="s">
        <v>49</v>
      </c>
      <c r="L234" s="8" t="s">
        <v>50</v>
      </c>
      <c r="M234" s="8" t="s">
        <v>51</v>
      </c>
      <c r="N234" s="7" t="s">
        <v>72</v>
      </c>
      <c r="O234" s="7"/>
      <c r="P234" s="7"/>
      <c r="Q234" s="7"/>
      <c r="R234" s="7"/>
      <c r="S234" s="7"/>
      <c r="T234" s="7"/>
      <c r="U234" s="7"/>
      <c r="V234" s="8"/>
      <c r="W234" s="9">
        <f t="shared" si="3"/>
        <v>0</v>
      </c>
    </row>
    <row r="235" spans="1:23" ht="18.649999999999999" customHeight="1" x14ac:dyDescent="0.35">
      <c r="A235" s="6">
        <v>46203</v>
      </c>
      <c r="B235" s="7" t="s">
        <v>45</v>
      </c>
      <c r="C235" s="7">
        <v>22</v>
      </c>
      <c r="D235" s="6">
        <v>46202</v>
      </c>
      <c r="E235" s="8" t="s">
        <v>244</v>
      </c>
      <c r="F235" s="7" t="s">
        <v>53</v>
      </c>
      <c r="G235" s="8" t="s">
        <v>54</v>
      </c>
      <c r="H235" s="8" t="s">
        <v>41</v>
      </c>
      <c r="I235" s="7">
        <v>60</v>
      </c>
      <c r="J235" s="7"/>
      <c r="K235" s="7"/>
      <c r="L235" s="8" t="s">
        <v>55</v>
      </c>
      <c r="M235" s="8" t="s">
        <v>56</v>
      </c>
      <c r="N235" s="7" t="s">
        <v>72</v>
      </c>
      <c r="O235" s="7"/>
      <c r="P235" s="7"/>
      <c r="Q235" s="7"/>
      <c r="R235" s="7"/>
      <c r="S235" s="7"/>
      <c r="T235" s="7"/>
      <c r="U235" s="7"/>
      <c r="V235" s="8"/>
      <c r="W235" s="9">
        <f t="shared" si="3"/>
        <v>0</v>
      </c>
    </row>
    <row r="236" spans="1:23" ht="18.649999999999999" customHeight="1" x14ac:dyDescent="0.35">
      <c r="A236" s="6">
        <v>46204</v>
      </c>
      <c r="B236" s="7" t="s">
        <v>57</v>
      </c>
      <c r="C236" s="7">
        <v>22</v>
      </c>
      <c r="D236" s="6">
        <v>46202</v>
      </c>
      <c r="E236" s="8" t="s">
        <v>244</v>
      </c>
      <c r="F236" s="7" t="s">
        <v>39</v>
      </c>
      <c r="G236" s="8" t="s">
        <v>112</v>
      </c>
      <c r="H236" s="8" t="s">
        <v>87</v>
      </c>
      <c r="I236" s="7">
        <v>70</v>
      </c>
      <c r="J236" s="7"/>
      <c r="K236" s="7"/>
      <c r="L236" s="8" t="s">
        <v>113</v>
      </c>
      <c r="M236" s="8" t="s">
        <v>255</v>
      </c>
      <c r="N236" s="7" t="s">
        <v>72</v>
      </c>
      <c r="O236" s="7"/>
      <c r="P236" s="7"/>
      <c r="Q236" s="7"/>
      <c r="R236" s="7"/>
      <c r="S236" s="7"/>
      <c r="T236" s="7"/>
      <c r="U236" s="7"/>
      <c r="V236" s="8"/>
      <c r="W236" s="9">
        <f t="shared" si="3"/>
        <v>0</v>
      </c>
    </row>
    <row r="237" spans="1:23" ht="18.649999999999999" customHeight="1" x14ac:dyDescent="0.35">
      <c r="A237" s="6">
        <v>46205</v>
      </c>
      <c r="B237" s="7" t="s">
        <v>62</v>
      </c>
      <c r="C237" s="7">
        <v>22</v>
      </c>
      <c r="D237" s="6">
        <v>46202</v>
      </c>
      <c r="E237" s="8" t="s">
        <v>244</v>
      </c>
      <c r="F237" s="7" t="s">
        <v>53</v>
      </c>
      <c r="G237" s="8" t="s">
        <v>246</v>
      </c>
      <c r="H237" s="8" t="s">
        <v>198</v>
      </c>
      <c r="I237" s="7">
        <v>85</v>
      </c>
      <c r="J237" s="7"/>
      <c r="K237" s="7"/>
      <c r="L237" s="8" t="s">
        <v>185</v>
      </c>
      <c r="M237" s="8" t="s">
        <v>256</v>
      </c>
      <c r="N237" s="7" t="s">
        <v>72</v>
      </c>
      <c r="O237" s="7"/>
      <c r="P237" s="7"/>
      <c r="Q237" s="7"/>
      <c r="R237" s="7"/>
      <c r="S237" s="7"/>
      <c r="T237" s="7"/>
      <c r="U237" s="7"/>
      <c r="V237" s="8"/>
      <c r="W237" s="9">
        <f t="shared" si="3"/>
        <v>0</v>
      </c>
    </row>
    <row r="238" spans="1:23" ht="18.649999999999999" customHeight="1" x14ac:dyDescent="0.35">
      <c r="A238" s="6">
        <v>46205</v>
      </c>
      <c r="B238" s="7" t="s">
        <v>62</v>
      </c>
      <c r="C238" s="7">
        <v>22</v>
      </c>
      <c r="D238" s="6">
        <v>46202</v>
      </c>
      <c r="E238" s="8" t="s">
        <v>244</v>
      </c>
      <c r="F238" s="7" t="s">
        <v>39</v>
      </c>
      <c r="G238" s="8" t="s">
        <v>64</v>
      </c>
      <c r="H238" s="8" t="s">
        <v>198</v>
      </c>
      <c r="I238" s="7">
        <v>35</v>
      </c>
      <c r="J238" s="7"/>
      <c r="K238" s="7"/>
      <c r="L238" s="8" t="s">
        <v>42</v>
      </c>
      <c r="M238" s="8" t="s">
        <v>192</v>
      </c>
      <c r="N238" s="7" t="s">
        <v>72</v>
      </c>
      <c r="O238" s="7"/>
      <c r="P238" s="7"/>
      <c r="Q238" s="7"/>
      <c r="R238" s="7"/>
      <c r="S238" s="7"/>
      <c r="T238" s="7"/>
      <c r="U238" s="7"/>
      <c r="V238" s="8"/>
      <c r="W238" s="9">
        <f t="shared" si="3"/>
        <v>0</v>
      </c>
    </row>
    <row r="239" spans="1:23" ht="18.649999999999999" customHeight="1" x14ac:dyDescent="0.35">
      <c r="A239" s="6">
        <v>46206</v>
      </c>
      <c r="B239" s="7" t="s">
        <v>66</v>
      </c>
      <c r="C239" s="7">
        <v>22</v>
      </c>
      <c r="D239" s="6">
        <v>46202</v>
      </c>
      <c r="E239" s="8" t="s">
        <v>244</v>
      </c>
      <c r="F239" s="7" t="s">
        <v>46</v>
      </c>
      <c r="G239" s="8" t="s">
        <v>67</v>
      </c>
      <c r="H239" s="8" t="s">
        <v>68</v>
      </c>
      <c r="I239" s="7">
        <v>45</v>
      </c>
      <c r="J239" s="7">
        <v>1800</v>
      </c>
      <c r="K239" s="7" t="s">
        <v>49</v>
      </c>
      <c r="L239" s="8" t="s">
        <v>42</v>
      </c>
      <c r="M239" s="8" t="s">
        <v>69</v>
      </c>
      <c r="N239" s="7" t="s">
        <v>72</v>
      </c>
      <c r="O239" s="7"/>
      <c r="P239" s="7"/>
      <c r="Q239" s="7"/>
      <c r="R239" s="7"/>
      <c r="S239" s="7"/>
      <c r="T239" s="7"/>
      <c r="U239" s="7"/>
      <c r="V239" s="8"/>
      <c r="W239" s="9">
        <f t="shared" si="3"/>
        <v>0</v>
      </c>
    </row>
    <row r="240" spans="1:23" ht="18.649999999999999" customHeight="1" x14ac:dyDescent="0.35">
      <c r="A240" s="6">
        <v>46206</v>
      </c>
      <c r="B240" s="7" t="s">
        <v>66</v>
      </c>
      <c r="C240" s="7">
        <v>22</v>
      </c>
      <c r="D240" s="6">
        <v>46202</v>
      </c>
      <c r="E240" s="8" t="s">
        <v>244</v>
      </c>
      <c r="F240" s="7" t="s">
        <v>34</v>
      </c>
      <c r="G240" s="8" t="s">
        <v>70</v>
      </c>
      <c r="H240" s="8" t="s">
        <v>34</v>
      </c>
      <c r="I240" s="7">
        <v>35</v>
      </c>
      <c r="J240" s="7"/>
      <c r="K240" s="7"/>
      <c r="L240" s="8" t="s">
        <v>36</v>
      </c>
      <c r="M240" s="8" t="s">
        <v>71</v>
      </c>
      <c r="N240" s="7" t="s">
        <v>72</v>
      </c>
      <c r="O240" s="7"/>
      <c r="P240" s="7"/>
      <c r="Q240" s="7"/>
      <c r="R240" s="7"/>
      <c r="S240" s="7"/>
      <c r="T240" s="7"/>
      <c r="U240" s="7"/>
      <c r="V240" s="8"/>
      <c r="W240" s="9">
        <f t="shared" si="3"/>
        <v>0</v>
      </c>
    </row>
    <row r="241" spans="1:23" ht="18.649999999999999" customHeight="1" x14ac:dyDescent="0.35">
      <c r="A241" s="6">
        <v>46207</v>
      </c>
      <c r="B241" s="7" t="s">
        <v>73</v>
      </c>
      <c r="C241" s="7">
        <v>22</v>
      </c>
      <c r="D241" s="6">
        <v>46202</v>
      </c>
      <c r="E241" s="8" t="s">
        <v>244</v>
      </c>
      <c r="F241" s="7" t="s">
        <v>39</v>
      </c>
      <c r="G241" s="8" t="s">
        <v>257</v>
      </c>
      <c r="H241" s="8" t="s">
        <v>198</v>
      </c>
      <c r="I241" s="7">
        <v>145</v>
      </c>
      <c r="J241" s="7"/>
      <c r="K241" s="7"/>
      <c r="L241" s="8" t="s">
        <v>249</v>
      </c>
      <c r="M241" s="8" t="s">
        <v>258</v>
      </c>
      <c r="N241" s="7" t="s">
        <v>72</v>
      </c>
      <c r="O241" s="7"/>
      <c r="P241" s="7"/>
      <c r="Q241" s="7"/>
      <c r="R241" s="7"/>
      <c r="S241" s="7"/>
      <c r="T241" s="7"/>
      <c r="U241" s="7"/>
      <c r="V241" s="8"/>
      <c r="W241" s="9">
        <f t="shared" si="3"/>
        <v>0</v>
      </c>
    </row>
    <row r="242" spans="1:23" ht="18.649999999999999" customHeight="1" x14ac:dyDescent="0.35">
      <c r="A242" s="6">
        <v>46208</v>
      </c>
      <c r="B242" s="7" t="s">
        <v>77</v>
      </c>
      <c r="C242" s="7">
        <v>22</v>
      </c>
      <c r="D242" s="6">
        <v>46202</v>
      </c>
      <c r="E242" s="8" t="s">
        <v>244</v>
      </c>
      <c r="F242" s="7" t="s">
        <v>53</v>
      </c>
      <c r="G242" s="8" t="s">
        <v>259</v>
      </c>
      <c r="H242" s="8" t="s">
        <v>198</v>
      </c>
      <c r="I242" s="7">
        <v>240</v>
      </c>
      <c r="J242" s="7"/>
      <c r="K242" s="7"/>
      <c r="L242" s="8" t="s">
        <v>260</v>
      </c>
      <c r="M242" s="8" t="s">
        <v>261</v>
      </c>
      <c r="N242" s="7" t="s">
        <v>72</v>
      </c>
      <c r="O242" s="7"/>
      <c r="P242" s="7"/>
      <c r="Q242" s="7"/>
      <c r="R242" s="7"/>
      <c r="S242" s="7"/>
      <c r="T242" s="7"/>
      <c r="U242" s="7"/>
      <c r="V242" s="8"/>
      <c r="W242" s="9">
        <f t="shared" si="3"/>
        <v>0</v>
      </c>
    </row>
    <row r="243" spans="1:23" ht="18.649999999999999" customHeight="1" x14ac:dyDescent="0.35">
      <c r="A243" s="6">
        <v>46209</v>
      </c>
      <c r="B243" s="7" t="s">
        <v>32</v>
      </c>
      <c r="C243" s="7">
        <v>23</v>
      </c>
      <c r="D243" s="6">
        <v>46209</v>
      </c>
      <c r="E243" s="8" t="s">
        <v>244</v>
      </c>
      <c r="F243" s="7" t="s">
        <v>34</v>
      </c>
      <c r="G243" s="8" t="s">
        <v>35</v>
      </c>
      <c r="H243" s="8" t="s">
        <v>34</v>
      </c>
      <c r="I243" s="7">
        <v>45</v>
      </c>
      <c r="J243" s="7"/>
      <c r="K243" s="7"/>
      <c r="L243" s="8" t="s">
        <v>36</v>
      </c>
      <c r="M243" s="8" t="s">
        <v>37</v>
      </c>
      <c r="N243" s="7" t="s">
        <v>72</v>
      </c>
      <c r="O243" s="7"/>
      <c r="P243" s="7"/>
      <c r="Q243" s="7"/>
      <c r="R243" s="7"/>
      <c r="S243" s="7"/>
      <c r="T243" s="7"/>
      <c r="U243" s="7"/>
      <c r="V243" s="8"/>
      <c r="W243" s="9">
        <f t="shared" si="3"/>
        <v>0</v>
      </c>
    </row>
    <row r="244" spans="1:23" ht="18.649999999999999" customHeight="1" x14ac:dyDescent="0.35">
      <c r="A244" s="6">
        <v>46209</v>
      </c>
      <c r="B244" s="7" t="s">
        <v>32</v>
      </c>
      <c r="C244" s="7">
        <v>23</v>
      </c>
      <c r="D244" s="6">
        <v>46209</v>
      </c>
      <c r="E244" s="8" t="s">
        <v>244</v>
      </c>
      <c r="F244" s="7" t="s">
        <v>39</v>
      </c>
      <c r="G244" s="8" t="s">
        <v>40</v>
      </c>
      <c r="H244" s="8" t="s">
        <v>41</v>
      </c>
      <c r="I244" s="7">
        <v>40</v>
      </c>
      <c r="J244" s="7"/>
      <c r="K244" s="7"/>
      <c r="L244" s="8" t="s">
        <v>42</v>
      </c>
      <c r="M244" s="8" t="s">
        <v>43</v>
      </c>
      <c r="N244" s="7" t="s">
        <v>72</v>
      </c>
      <c r="O244" s="7"/>
      <c r="P244" s="7"/>
      <c r="Q244" s="7"/>
      <c r="R244" s="7"/>
      <c r="S244" s="7"/>
      <c r="T244" s="7"/>
      <c r="U244" s="7"/>
      <c r="V244" s="8"/>
      <c r="W244" s="9">
        <f t="shared" si="3"/>
        <v>0</v>
      </c>
    </row>
    <row r="245" spans="1:23" ht="18.649999999999999" customHeight="1" x14ac:dyDescent="0.35">
      <c r="A245" s="6">
        <v>46210</v>
      </c>
      <c r="B245" s="7" t="s">
        <v>45</v>
      </c>
      <c r="C245" s="7">
        <v>23</v>
      </c>
      <c r="D245" s="6">
        <v>46209</v>
      </c>
      <c r="E245" s="8" t="s">
        <v>244</v>
      </c>
      <c r="F245" s="7" t="s">
        <v>46</v>
      </c>
      <c r="G245" s="8" t="s">
        <v>47</v>
      </c>
      <c r="H245" s="8" t="s">
        <v>48</v>
      </c>
      <c r="I245" s="7">
        <v>45</v>
      </c>
      <c r="J245" s="7">
        <v>2000</v>
      </c>
      <c r="K245" s="7" t="s">
        <v>49</v>
      </c>
      <c r="L245" s="8" t="s">
        <v>50</v>
      </c>
      <c r="M245" s="8" t="s">
        <v>51</v>
      </c>
      <c r="N245" s="7" t="s">
        <v>72</v>
      </c>
      <c r="O245" s="7"/>
      <c r="P245" s="7"/>
      <c r="Q245" s="7"/>
      <c r="R245" s="7"/>
      <c r="S245" s="7"/>
      <c r="T245" s="7"/>
      <c r="U245" s="7"/>
      <c r="V245" s="8"/>
      <c r="W245" s="9">
        <f t="shared" si="3"/>
        <v>0</v>
      </c>
    </row>
    <row r="246" spans="1:23" ht="18.649999999999999" customHeight="1" x14ac:dyDescent="0.35">
      <c r="A246" s="6">
        <v>46210</v>
      </c>
      <c r="B246" s="7" t="s">
        <v>45</v>
      </c>
      <c r="C246" s="7">
        <v>23</v>
      </c>
      <c r="D246" s="6">
        <v>46209</v>
      </c>
      <c r="E246" s="8" t="s">
        <v>244</v>
      </c>
      <c r="F246" s="7" t="s">
        <v>53</v>
      </c>
      <c r="G246" s="8" t="s">
        <v>54</v>
      </c>
      <c r="H246" s="8" t="s">
        <v>41</v>
      </c>
      <c r="I246" s="7">
        <v>60</v>
      </c>
      <c r="J246" s="7"/>
      <c r="K246" s="7"/>
      <c r="L246" s="8" t="s">
        <v>55</v>
      </c>
      <c r="M246" s="8" t="s">
        <v>56</v>
      </c>
      <c r="N246" s="7" t="s">
        <v>72</v>
      </c>
      <c r="O246" s="7"/>
      <c r="P246" s="7"/>
      <c r="Q246" s="7"/>
      <c r="R246" s="7"/>
      <c r="S246" s="7"/>
      <c r="T246" s="7"/>
      <c r="U246" s="7"/>
      <c r="V246" s="8"/>
      <c r="W246" s="9">
        <f t="shared" si="3"/>
        <v>0</v>
      </c>
    </row>
    <row r="247" spans="1:23" ht="18.649999999999999" customHeight="1" x14ac:dyDescent="0.35">
      <c r="A247" s="6">
        <v>46211</v>
      </c>
      <c r="B247" s="7" t="s">
        <v>57</v>
      </c>
      <c r="C247" s="7">
        <v>23</v>
      </c>
      <c r="D247" s="6">
        <v>46209</v>
      </c>
      <c r="E247" s="8" t="s">
        <v>244</v>
      </c>
      <c r="F247" s="7" t="s">
        <v>39</v>
      </c>
      <c r="G247" s="8" t="s">
        <v>262</v>
      </c>
      <c r="H247" s="8" t="s">
        <v>87</v>
      </c>
      <c r="I247" s="7">
        <v>60</v>
      </c>
      <c r="J247" s="7"/>
      <c r="K247" s="7"/>
      <c r="L247" s="8" t="s">
        <v>263</v>
      </c>
      <c r="M247" s="8" t="s">
        <v>264</v>
      </c>
      <c r="N247" s="7" t="s">
        <v>72</v>
      </c>
      <c r="O247" s="7"/>
      <c r="P247" s="7"/>
      <c r="Q247" s="7"/>
      <c r="R247" s="7"/>
      <c r="S247" s="7"/>
      <c r="T247" s="7"/>
      <c r="U247" s="7"/>
      <c r="V247" s="8"/>
      <c r="W247" s="9">
        <f t="shared" si="3"/>
        <v>0</v>
      </c>
    </row>
    <row r="248" spans="1:23" ht="18.649999999999999" customHeight="1" x14ac:dyDescent="0.35">
      <c r="A248" s="6">
        <v>46212</v>
      </c>
      <c r="B248" s="7" t="s">
        <v>62</v>
      </c>
      <c r="C248" s="7">
        <v>23</v>
      </c>
      <c r="D248" s="6">
        <v>46209</v>
      </c>
      <c r="E248" s="8" t="s">
        <v>244</v>
      </c>
      <c r="F248" s="7" t="s">
        <v>53</v>
      </c>
      <c r="G248" s="8" t="s">
        <v>265</v>
      </c>
      <c r="H248" s="8" t="s">
        <v>132</v>
      </c>
      <c r="I248" s="7">
        <v>70</v>
      </c>
      <c r="J248" s="7"/>
      <c r="K248" s="7"/>
      <c r="L248" s="8" t="s">
        <v>224</v>
      </c>
      <c r="M248" s="8" t="s">
        <v>266</v>
      </c>
      <c r="N248" s="7" t="s">
        <v>72</v>
      </c>
      <c r="O248" s="7"/>
      <c r="P248" s="7"/>
      <c r="Q248" s="7"/>
      <c r="R248" s="7"/>
      <c r="S248" s="7"/>
      <c r="T248" s="7"/>
      <c r="U248" s="7"/>
      <c r="V248" s="8"/>
      <c r="W248" s="9">
        <f t="shared" si="3"/>
        <v>0</v>
      </c>
    </row>
    <row r="249" spans="1:23" ht="18.649999999999999" customHeight="1" x14ac:dyDescent="0.35">
      <c r="A249" s="6">
        <v>46212</v>
      </c>
      <c r="B249" s="7" t="s">
        <v>62</v>
      </c>
      <c r="C249" s="7">
        <v>23</v>
      </c>
      <c r="D249" s="6">
        <v>46209</v>
      </c>
      <c r="E249" s="8" t="s">
        <v>244</v>
      </c>
      <c r="F249" s="7" t="s">
        <v>39</v>
      </c>
      <c r="G249" s="8" t="s">
        <v>64</v>
      </c>
      <c r="H249" s="8" t="s">
        <v>132</v>
      </c>
      <c r="I249" s="7">
        <v>25</v>
      </c>
      <c r="J249" s="7"/>
      <c r="K249" s="7"/>
      <c r="L249" s="8" t="s">
        <v>42</v>
      </c>
      <c r="M249" s="8" t="s">
        <v>192</v>
      </c>
      <c r="N249" s="7" t="s">
        <v>72</v>
      </c>
      <c r="O249" s="7"/>
      <c r="P249" s="7"/>
      <c r="Q249" s="7"/>
      <c r="R249" s="7"/>
      <c r="S249" s="7"/>
      <c r="T249" s="7"/>
      <c r="U249" s="7"/>
      <c r="V249" s="8"/>
      <c r="W249" s="9">
        <f t="shared" si="3"/>
        <v>0</v>
      </c>
    </row>
    <row r="250" spans="1:23" ht="18.649999999999999" customHeight="1" x14ac:dyDescent="0.35">
      <c r="A250" s="6">
        <v>46213</v>
      </c>
      <c r="B250" s="7" t="s">
        <v>66</v>
      </c>
      <c r="C250" s="7">
        <v>23</v>
      </c>
      <c r="D250" s="6">
        <v>46209</v>
      </c>
      <c r="E250" s="8" t="s">
        <v>244</v>
      </c>
      <c r="F250" s="7" t="s">
        <v>46</v>
      </c>
      <c r="G250" s="8" t="s">
        <v>67</v>
      </c>
      <c r="H250" s="8" t="s">
        <v>68</v>
      </c>
      <c r="I250" s="7">
        <v>45</v>
      </c>
      <c r="J250" s="7">
        <v>1800</v>
      </c>
      <c r="K250" s="7" t="s">
        <v>49</v>
      </c>
      <c r="L250" s="8" t="s">
        <v>42</v>
      </c>
      <c r="M250" s="8" t="s">
        <v>69</v>
      </c>
      <c r="N250" s="7" t="s">
        <v>72</v>
      </c>
      <c r="O250" s="7"/>
      <c r="P250" s="7"/>
      <c r="Q250" s="7"/>
      <c r="R250" s="7"/>
      <c r="S250" s="7"/>
      <c r="T250" s="7"/>
      <c r="U250" s="7"/>
      <c r="V250" s="8"/>
      <c r="W250" s="9">
        <f t="shared" si="3"/>
        <v>0</v>
      </c>
    </row>
    <row r="251" spans="1:23" ht="18.649999999999999" customHeight="1" x14ac:dyDescent="0.35">
      <c r="A251" s="6">
        <v>46213</v>
      </c>
      <c r="B251" s="7" t="s">
        <v>66</v>
      </c>
      <c r="C251" s="7">
        <v>23</v>
      </c>
      <c r="D251" s="6">
        <v>46209</v>
      </c>
      <c r="E251" s="8" t="s">
        <v>244</v>
      </c>
      <c r="F251" s="7" t="s">
        <v>34</v>
      </c>
      <c r="G251" s="8" t="s">
        <v>70</v>
      </c>
      <c r="H251" s="8" t="s">
        <v>34</v>
      </c>
      <c r="I251" s="7">
        <v>35</v>
      </c>
      <c r="J251" s="7"/>
      <c r="K251" s="7"/>
      <c r="L251" s="8" t="s">
        <v>36</v>
      </c>
      <c r="M251" s="8" t="s">
        <v>71</v>
      </c>
      <c r="N251" s="7" t="s">
        <v>72</v>
      </c>
      <c r="O251" s="7"/>
      <c r="P251" s="7"/>
      <c r="Q251" s="7"/>
      <c r="R251" s="7"/>
      <c r="S251" s="7"/>
      <c r="T251" s="7"/>
      <c r="U251" s="7"/>
      <c r="V251" s="8"/>
      <c r="W251" s="9">
        <f t="shared" si="3"/>
        <v>0</v>
      </c>
    </row>
    <row r="252" spans="1:23" ht="18.649999999999999" customHeight="1" x14ac:dyDescent="0.35">
      <c r="A252" s="6">
        <v>46214</v>
      </c>
      <c r="B252" s="7" t="s">
        <v>73</v>
      </c>
      <c r="C252" s="7">
        <v>23</v>
      </c>
      <c r="D252" s="6">
        <v>46209</v>
      </c>
      <c r="E252" s="8" t="s">
        <v>244</v>
      </c>
      <c r="F252" s="7" t="s">
        <v>39</v>
      </c>
      <c r="G252" s="8" t="s">
        <v>267</v>
      </c>
      <c r="H252" s="8" t="s">
        <v>41</v>
      </c>
      <c r="I252" s="7">
        <v>90</v>
      </c>
      <c r="J252" s="7"/>
      <c r="K252" s="7"/>
      <c r="L252" s="8" t="s">
        <v>42</v>
      </c>
      <c r="M252" s="8" t="s">
        <v>268</v>
      </c>
      <c r="N252" s="7" t="s">
        <v>72</v>
      </c>
      <c r="O252" s="7"/>
      <c r="P252" s="7"/>
      <c r="Q252" s="7"/>
      <c r="R252" s="7"/>
      <c r="S252" s="7"/>
      <c r="T252" s="7"/>
      <c r="U252" s="7"/>
      <c r="V252" s="8"/>
      <c r="W252" s="9">
        <f t="shared" si="3"/>
        <v>0</v>
      </c>
    </row>
    <row r="253" spans="1:23" ht="18.649999999999999" customHeight="1" x14ac:dyDescent="0.35">
      <c r="A253" s="6">
        <v>46215</v>
      </c>
      <c r="B253" s="7" t="s">
        <v>77</v>
      </c>
      <c r="C253" s="7">
        <v>23</v>
      </c>
      <c r="D253" s="6">
        <v>46209</v>
      </c>
      <c r="E253" s="8" t="s">
        <v>244</v>
      </c>
      <c r="F253" s="7" t="s">
        <v>53</v>
      </c>
      <c r="G253" s="8" t="s">
        <v>269</v>
      </c>
      <c r="H253" s="8" t="s">
        <v>252</v>
      </c>
      <c r="I253" s="7">
        <v>195</v>
      </c>
      <c r="J253" s="7"/>
      <c r="K253" s="7"/>
      <c r="L253" s="8" t="s">
        <v>270</v>
      </c>
      <c r="M253" s="8" t="s">
        <v>271</v>
      </c>
      <c r="N253" s="7" t="s">
        <v>72</v>
      </c>
      <c r="O253" s="7"/>
      <c r="P253" s="7"/>
      <c r="Q253" s="7"/>
      <c r="R253" s="7"/>
      <c r="S253" s="7"/>
      <c r="T253" s="7"/>
      <c r="U253" s="7"/>
      <c r="V253" s="8"/>
      <c r="W253" s="9">
        <f t="shared" si="3"/>
        <v>0</v>
      </c>
    </row>
    <row r="254" spans="1:23" ht="18.649999999999999" customHeight="1" x14ac:dyDescent="0.35">
      <c r="A254" s="6">
        <v>46216</v>
      </c>
      <c r="B254" s="7" t="s">
        <v>32</v>
      </c>
      <c r="C254" s="7">
        <v>24</v>
      </c>
      <c r="D254" s="6">
        <v>46216</v>
      </c>
      <c r="E254" s="8" t="s">
        <v>272</v>
      </c>
      <c r="F254" s="7" t="s">
        <v>34</v>
      </c>
      <c r="G254" s="8" t="s">
        <v>35</v>
      </c>
      <c r="H254" s="8" t="s">
        <v>34</v>
      </c>
      <c r="I254" s="7">
        <v>45</v>
      </c>
      <c r="J254" s="7"/>
      <c r="K254" s="7"/>
      <c r="L254" s="8" t="s">
        <v>36</v>
      </c>
      <c r="M254" s="8" t="s">
        <v>37</v>
      </c>
      <c r="N254" s="7" t="s">
        <v>72</v>
      </c>
      <c r="O254" s="7"/>
      <c r="P254" s="7"/>
      <c r="Q254" s="7"/>
      <c r="R254" s="7"/>
      <c r="S254" s="7"/>
      <c r="T254" s="7"/>
      <c r="U254" s="7"/>
      <c r="V254" s="8"/>
      <c r="W254" s="9">
        <f t="shared" si="3"/>
        <v>0</v>
      </c>
    </row>
    <row r="255" spans="1:23" ht="18.649999999999999" customHeight="1" x14ac:dyDescent="0.35">
      <c r="A255" s="6">
        <v>46216</v>
      </c>
      <c r="B255" s="7" t="s">
        <v>32</v>
      </c>
      <c r="C255" s="7">
        <v>24</v>
      </c>
      <c r="D255" s="6">
        <v>46216</v>
      </c>
      <c r="E255" s="8" t="s">
        <v>272</v>
      </c>
      <c r="F255" s="7" t="s">
        <v>39</v>
      </c>
      <c r="G255" s="8" t="s">
        <v>40</v>
      </c>
      <c r="H255" s="8" t="s">
        <v>41</v>
      </c>
      <c r="I255" s="7">
        <v>25</v>
      </c>
      <c r="J255" s="7"/>
      <c r="K255" s="7"/>
      <c r="L255" s="8" t="s">
        <v>42</v>
      </c>
      <c r="M255" s="8" t="s">
        <v>43</v>
      </c>
      <c r="N255" s="7" t="s">
        <v>72</v>
      </c>
      <c r="O255" s="7"/>
      <c r="P255" s="7"/>
      <c r="Q255" s="7"/>
      <c r="R255" s="7"/>
      <c r="S255" s="7"/>
      <c r="T255" s="7"/>
      <c r="U255" s="7"/>
      <c r="V255" s="8"/>
      <c r="W255" s="9">
        <f t="shared" si="3"/>
        <v>0</v>
      </c>
    </row>
    <row r="256" spans="1:23" ht="18.649999999999999" customHeight="1" x14ac:dyDescent="0.35">
      <c r="A256" s="6">
        <v>46217</v>
      </c>
      <c r="B256" s="7" t="s">
        <v>45</v>
      </c>
      <c r="C256" s="7">
        <v>24</v>
      </c>
      <c r="D256" s="6">
        <v>46216</v>
      </c>
      <c r="E256" s="8" t="s">
        <v>272</v>
      </c>
      <c r="F256" s="7" t="s">
        <v>46</v>
      </c>
      <c r="G256" s="8" t="s">
        <v>140</v>
      </c>
      <c r="H256" s="8" t="s">
        <v>94</v>
      </c>
      <c r="I256" s="7">
        <v>40</v>
      </c>
      <c r="J256" s="7">
        <v>1500</v>
      </c>
      <c r="K256" s="7" t="s">
        <v>49</v>
      </c>
      <c r="L256" s="8" t="s">
        <v>95</v>
      </c>
      <c r="M256" s="8" t="s">
        <v>192</v>
      </c>
      <c r="N256" s="7" t="s">
        <v>72</v>
      </c>
      <c r="O256" s="7"/>
      <c r="P256" s="7"/>
      <c r="Q256" s="7"/>
      <c r="R256" s="7"/>
      <c r="S256" s="7"/>
      <c r="T256" s="7"/>
      <c r="U256" s="7"/>
      <c r="V256" s="8"/>
      <c r="W256" s="9">
        <f t="shared" si="3"/>
        <v>0</v>
      </c>
    </row>
    <row r="257" spans="1:23" ht="18.649999999999999" customHeight="1" x14ac:dyDescent="0.35">
      <c r="A257" s="6">
        <v>46217</v>
      </c>
      <c r="B257" s="7" t="s">
        <v>45</v>
      </c>
      <c r="C257" s="7">
        <v>24</v>
      </c>
      <c r="D257" s="6">
        <v>46216</v>
      </c>
      <c r="E257" s="8" t="s">
        <v>272</v>
      </c>
      <c r="F257" s="7" t="s">
        <v>53</v>
      </c>
      <c r="G257" s="8" t="s">
        <v>54</v>
      </c>
      <c r="H257" s="8" t="s">
        <v>94</v>
      </c>
      <c r="I257" s="7">
        <v>50</v>
      </c>
      <c r="J257" s="7"/>
      <c r="K257" s="7"/>
      <c r="L257" s="8" t="s">
        <v>95</v>
      </c>
      <c r="M257" s="8" t="s">
        <v>192</v>
      </c>
      <c r="N257" s="7" t="s">
        <v>72</v>
      </c>
      <c r="O257" s="7"/>
      <c r="P257" s="7"/>
      <c r="Q257" s="7"/>
      <c r="R257" s="7"/>
      <c r="S257" s="7"/>
      <c r="T257" s="7"/>
      <c r="U257" s="7"/>
      <c r="V257" s="8"/>
      <c r="W257" s="9">
        <f t="shared" si="3"/>
        <v>0</v>
      </c>
    </row>
    <row r="258" spans="1:23" ht="18.649999999999999" customHeight="1" x14ac:dyDescent="0.35">
      <c r="A258" s="6">
        <v>46218</v>
      </c>
      <c r="B258" s="7" t="s">
        <v>57</v>
      </c>
      <c r="C258" s="7">
        <v>24</v>
      </c>
      <c r="D258" s="6">
        <v>46216</v>
      </c>
      <c r="E258" s="8" t="s">
        <v>272</v>
      </c>
      <c r="F258" s="7" t="s">
        <v>39</v>
      </c>
      <c r="G258" s="8" t="s">
        <v>273</v>
      </c>
      <c r="H258" s="8" t="s">
        <v>94</v>
      </c>
      <c r="I258" s="7">
        <v>45</v>
      </c>
      <c r="J258" s="7"/>
      <c r="K258" s="7"/>
      <c r="L258" s="8" t="s">
        <v>42</v>
      </c>
      <c r="M258" s="8" t="s">
        <v>192</v>
      </c>
      <c r="N258" s="7" t="s">
        <v>72</v>
      </c>
      <c r="O258" s="7"/>
      <c r="P258" s="7"/>
      <c r="Q258" s="7"/>
      <c r="R258" s="7"/>
      <c r="S258" s="7"/>
      <c r="T258" s="7"/>
      <c r="U258" s="7"/>
      <c r="V258" s="8"/>
      <c r="W258" s="9">
        <f t="shared" ref="W258:W295" si="4">IF(OR($N258="Hecho",$N258="Parcial"),IF($O258="",0,$O258),0)</f>
        <v>0</v>
      </c>
    </row>
    <row r="259" spans="1:23" ht="18.649999999999999" customHeight="1" x14ac:dyDescent="0.35">
      <c r="A259" s="6">
        <v>46219</v>
      </c>
      <c r="B259" s="7" t="s">
        <v>62</v>
      </c>
      <c r="C259" s="7">
        <v>24</v>
      </c>
      <c r="D259" s="6">
        <v>46216</v>
      </c>
      <c r="E259" s="8" t="s">
        <v>272</v>
      </c>
      <c r="F259" s="7" t="s">
        <v>53</v>
      </c>
      <c r="G259" s="8" t="s">
        <v>274</v>
      </c>
      <c r="H259" s="8" t="s">
        <v>275</v>
      </c>
      <c r="I259" s="7">
        <v>60</v>
      </c>
      <c r="J259" s="7"/>
      <c r="K259" s="7"/>
      <c r="L259" s="8" t="s">
        <v>276</v>
      </c>
      <c r="M259" s="8" t="s">
        <v>277</v>
      </c>
      <c r="N259" s="7" t="s">
        <v>72</v>
      </c>
      <c r="O259" s="7"/>
      <c r="P259" s="7"/>
      <c r="Q259" s="7"/>
      <c r="R259" s="7"/>
      <c r="S259" s="7"/>
      <c r="T259" s="7"/>
      <c r="U259" s="7"/>
      <c r="V259" s="8"/>
      <c r="W259" s="9">
        <f t="shared" si="4"/>
        <v>0</v>
      </c>
    </row>
    <row r="260" spans="1:23" ht="18.649999999999999" customHeight="1" x14ac:dyDescent="0.35">
      <c r="A260" s="6">
        <v>46219</v>
      </c>
      <c r="B260" s="7" t="s">
        <v>62</v>
      </c>
      <c r="C260" s="7">
        <v>24</v>
      </c>
      <c r="D260" s="6">
        <v>46216</v>
      </c>
      <c r="E260" s="8" t="s">
        <v>272</v>
      </c>
      <c r="F260" s="7" t="s">
        <v>39</v>
      </c>
      <c r="G260" s="8" t="s">
        <v>64</v>
      </c>
      <c r="H260" s="8" t="s">
        <v>94</v>
      </c>
      <c r="I260" s="7">
        <v>20</v>
      </c>
      <c r="J260" s="7"/>
      <c r="K260" s="7"/>
      <c r="L260" s="8" t="s">
        <v>42</v>
      </c>
      <c r="M260" s="8" t="s">
        <v>192</v>
      </c>
      <c r="N260" s="7" t="s">
        <v>72</v>
      </c>
      <c r="O260" s="7"/>
      <c r="P260" s="7"/>
      <c r="Q260" s="7"/>
      <c r="R260" s="7"/>
      <c r="S260" s="7"/>
      <c r="T260" s="7"/>
      <c r="U260" s="7"/>
      <c r="V260" s="8"/>
      <c r="W260" s="9">
        <f t="shared" si="4"/>
        <v>0</v>
      </c>
    </row>
    <row r="261" spans="1:23" ht="18.649999999999999" customHeight="1" x14ac:dyDescent="0.35">
      <c r="A261" s="6">
        <v>46220</v>
      </c>
      <c r="B261" s="7" t="s">
        <v>66</v>
      </c>
      <c r="C261" s="7">
        <v>24</v>
      </c>
      <c r="D261" s="6">
        <v>46216</v>
      </c>
      <c r="E261" s="8" t="s">
        <v>272</v>
      </c>
      <c r="F261" s="7" t="s">
        <v>46</v>
      </c>
      <c r="G261" s="8" t="s">
        <v>194</v>
      </c>
      <c r="H261" s="8" t="s">
        <v>94</v>
      </c>
      <c r="I261" s="7">
        <v>40</v>
      </c>
      <c r="J261" s="7">
        <v>1500</v>
      </c>
      <c r="K261" s="7" t="s">
        <v>49</v>
      </c>
      <c r="L261" s="8" t="s">
        <v>95</v>
      </c>
      <c r="M261" s="8" t="s">
        <v>192</v>
      </c>
      <c r="N261" s="7" t="s">
        <v>72</v>
      </c>
      <c r="O261" s="7"/>
      <c r="P261" s="7"/>
      <c r="Q261" s="7"/>
      <c r="R261" s="7"/>
      <c r="S261" s="7"/>
      <c r="T261" s="7"/>
      <c r="U261" s="7"/>
      <c r="V261" s="8"/>
      <c r="W261" s="9">
        <f t="shared" si="4"/>
        <v>0</v>
      </c>
    </row>
    <row r="262" spans="1:23" ht="18.649999999999999" customHeight="1" x14ac:dyDescent="0.35">
      <c r="A262" s="6">
        <v>46220</v>
      </c>
      <c r="B262" s="7" t="s">
        <v>66</v>
      </c>
      <c r="C262" s="7">
        <v>24</v>
      </c>
      <c r="D262" s="6">
        <v>46216</v>
      </c>
      <c r="E262" s="8" t="s">
        <v>272</v>
      </c>
      <c r="F262" s="7" t="s">
        <v>34</v>
      </c>
      <c r="G262" s="8" t="s">
        <v>70</v>
      </c>
      <c r="H262" s="8" t="s">
        <v>34</v>
      </c>
      <c r="I262" s="7">
        <v>35</v>
      </c>
      <c r="J262" s="7"/>
      <c r="K262" s="7"/>
      <c r="L262" s="8" t="s">
        <v>36</v>
      </c>
      <c r="M262" s="8" t="s">
        <v>71</v>
      </c>
      <c r="N262" s="7" t="s">
        <v>72</v>
      </c>
      <c r="O262" s="7"/>
      <c r="P262" s="7"/>
      <c r="Q262" s="7"/>
      <c r="R262" s="7"/>
      <c r="S262" s="7"/>
      <c r="T262" s="7"/>
      <c r="U262" s="7"/>
      <c r="V262" s="8"/>
      <c r="W262" s="9">
        <f t="shared" si="4"/>
        <v>0</v>
      </c>
    </row>
    <row r="263" spans="1:23" ht="18.649999999999999" customHeight="1" x14ac:dyDescent="0.35">
      <c r="A263" s="6">
        <v>46221</v>
      </c>
      <c r="B263" s="7" t="s">
        <v>73</v>
      </c>
      <c r="C263" s="7">
        <v>24</v>
      </c>
      <c r="D263" s="6">
        <v>46216</v>
      </c>
      <c r="E263" s="8" t="s">
        <v>272</v>
      </c>
      <c r="F263" s="7" t="s">
        <v>39</v>
      </c>
      <c r="G263" s="8" t="s">
        <v>74</v>
      </c>
      <c r="H263" s="8" t="s">
        <v>94</v>
      </c>
      <c r="I263" s="7">
        <v>90</v>
      </c>
      <c r="J263" s="7"/>
      <c r="K263" s="7"/>
      <c r="L263" s="8" t="s">
        <v>42</v>
      </c>
      <c r="M263" s="8" t="s">
        <v>192</v>
      </c>
      <c r="N263" s="7" t="s">
        <v>72</v>
      </c>
      <c r="O263" s="7"/>
      <c r="P263" s="7"/>
      <c r="Q263" s="7"/>
      <c r="R263" s="7"/>
      <c r="S263" s="7"/>
      <c r="T263" s="7"/>
      <c r="U263" s="7"/>
      <c r="V263" s="8"/>
      <c r="W263" s="9">
        <f t="shared" si="4"/>
        <v>0</v>
      </c>
    </row>
    <row r="264" spans="1:23" ht="18.649999999999999" customHeight="1" x14ac:dyDescent="0.35">
      <c r="A264" s="6">
        <v>46222</v>
      </c>
      <c r="B264" s="7" t="s">
        <v>77</v>
      </c>
      <c r="C264" s="7">
        <v>24</v>
      </c>
      <c r="D264" s="6">
        <v>46216</v>
      </c>
      <c r="E264" s="8" t="s">
        <v>272</v>
      </c>
      <c r="F264" s="7" t="s">
        <v>53</v>
      </c>
      <c r="G264" s="8" t="s">
        <v>108</v>
      </c>
      <c r="H264" s="8" t="s">
        <v>94</v>
      </c>
      <c r="I264" s="7">
        <v>180</v>
      </c>
      <c r="J264" s="7"/>
      <c r="K264" s="7"/>
      <c r="L264" s="8" t="s">
        <v>42</v>
      </c>
      <c r="M264" s="8" t="s">
        <v>192</v>
      </c>
      <c r="N264" s="7" t="s">
        <v>72</v>
      </c>
      <c r="O264" s="7"/>
      <c r="P264" s="7"/>
      <c r="Q264" s="7"/>
      <c r="R264" s="7"/>
      <c r="S264" s="7"/>
      <c r="T264" s="7"/>
      <c r="U264" s="7"/>
      <c r="V264" s="8"/>
      <c r="W264" s="9">
        <f t="shared" si="4"/>
        <v>0</v>
      </c>
    </row>
    <row r="265" spans="1:23" ht="18.649999999999999" customHeight="1" x14ac:dyDescent="0.35">
      <c r="A265" s="6">
        <v>46223</v>
      </c>
      <c r="B265" s="7" t="s">
        <v>32</v>
      </c>
      <c r="C265" s="7">
        <v>25</v>
      </c>
      <c r="D265" s="6">
        <v>46223</v>
      </c>
      <c r="E265" s="8" t="s">
        <v>278</v>
      </c>
      <c r="F265" s="7" t="s">
        <v>34</v>
      </c>
      <c r="G265" s="8" t="s">
        <v>35</v>
      </c>
      <c r="H265" s="8" t="s">
        <v>34</v>
      </c>
      <c r="I265" s="7">
        <v>45</v>
      </c>
      <c r="J265" s="7"/>
      <c r="K265" s="7"/>
      <c r="L265" s="8" t="s">
        <v>36</v>
      </c>
      <c r="M265" s="8" t="s">
        <v>37</v>
      </c>
      <c r="N265" s="7" t="s">
        <v>72</v>
      </c>
      <c r="O265" s="7"/>
      <c r="P265" s="7"/>
      <c r="Q265" s="7"/>
      <c r="R265" s="7"/>
      <c r="S265" s="7"/>
      <c r="T265" s="7"/>
      <c r="U265" s="7"/>
      <c r="V265" s="8"/>
      <c r="W265" s="9">
        <f t="shared" si="4"/>
        <v>0</v>
      </c>
    </row>
    <row r="266" spans="1:23" ht="18.649999999999999" customHeight="1" x14ac:dyDescent="0.35">
      <c r="A266" s="6">
        <v>46223</v>
      </c>
      <c r="B266" s="7" t="s">
        <v>32</v>
      </c>
      <c r="C266" s="7">
        <v>25</v>
      </c>
      <c r="D266" s="6">
        <v>46223</v>
      </c>
      <c r="E266" s="8" t="s">
        <v>278</v>
      </c>
      <c r="F266" s="7" t="s">
        <v>39</v>
      </c>
      <c r="G266" s="8" t="s">
        <v>40</v>
      </c>
      <c r="H266" s="8" t="s">
        <v>41</v>
      </c>
      <c r="I266" s="7">
        <v>30</v>
      </c>
      <c r="J266" s="7"/>
      <c r="K266" s="7"/>
      <c r="L266" s="8" t="s">
        <v>42</v>
      </c>
      <c r="M266" s="8" t="s">
        <v>43</v>
      </c>
      <c r="N266" s="7" t="s">
        <v>72</v>
      </c>
      <c r="O266" s="7"/>
      <c r="P266" s="7"/>
      <c r="Q266" s="7"/>
      <c r="R266" s="7"/>
      <c r="S266" s="7"/>
      <c r="T266" s="7"/>
      <c r="U266" s="7"/>
      <c r="V266" s="8"/>
      <c r="W266" s="9">
        <f t="shared" si="4"/>
        <v>0</v>
      </c>
    </row>
    <row r="267" spans="1:23" ht="18.649999999999999" customHeight="1" x14ac:dyDescent="0.35">
      <c r="A267" s="6">
        <v>46224</v>
      </c>
      <c r="B267" s="7" t="s">
        <v>45</v>
      </c>
      <c r="C267" s="7">
        <v>25</v>
      </c>
      <c r="D267" s="6">
        <v>46223</v>
      </c>
      <c r="E267" s="8" t="s">
        <v>278</v>
      </c>
      <c r="F267" s="7" t="s">
        <v>46</v>
      </c>
      <c r="G267" s="8" t="s">
        <v>279</v>
      </c>
      <c r="H267" s="8" t="s">
        <v>280</v>
      </c>
      <c r="I267" s="7">
        <v>45</v>
      </c>
      <c r="J267" s="7">
        <v>1800</v>
      </c>
      <c r="K267" s="7" t="s">
        <v>49</v>
      </c>
      <c r="L267" s="8" t="s">
        <v>50</v>
      </c>
      <c r="M267" s="8" t="s">
        <v>281</v>
      </c>
      <c r="N267" s="7" t="s">
        <v>72</v>
      </c>
      <c r="O267" s="7"/>
      <c r="P267" s="7"/>
      <c r="Q267" s="7"/>
      <c r="R267" s="7"/>
      <c r="S267" s="7"/>
      <c r="T267" s="7"/>
      <c r="U267" s="7"/>
      <c r="V267" s="8"/>
      <c r="W267" s="9">
        <f t="shared" si="4"/>
        <v>0</v>
      </c>
    </row>
    <row r="268" spans="1:23" ht="18.649999999999999" customHeight="1" x14ac:dyDescent="0.35">
      <c r="A268" s="6">
        <v>46224</v>
      </c>
      <c r="B268" s="7" t="s">
        <v>45</v>
      </c>
      <c r="C268" s="7">
        <v>25</v>
      </c>
      <c r="D268" s="6">
        <v>46223</v>
      </c>
      <c r="E268" s="8" t="s">
        <v>278</v>
      </c>
      <c r="F268" s="7" t="s">
        <v>53</v>
      </c>
      <c r="G268" s="8" t="s">
        <v>54</v>
      </c>
      <c r="H268" s="8" t="s">
        <v>280</v>
      </c>
      <c r="I268" s="7">
        <v>60</v>
      </c>
      <c r="J268" s="7"/>
      <c r="K268" s="7"/>
      <c r="L268" s="8" t="s">
        <v>42</v>
      </c>
      <c r="M268" s="8" t="s">
        <v>192</v>
      </c>
      <c r="N268" s="7" t="s">
        <v>72</v>
      </c>
      <c r="O268" s="7"/>
      <c r="P268" s="7"/>
      <c r="Q268" s="7"/>
      <c r="R268" s="7"/>
      <c r="S268" s="7"/>
      <c r="T268" s="7"/>
      <c r="U268" s="7"/>
      <c r="V268" s="8"/>
      <c r="W268" s="9">
        <f t="shared" si="4"/>
        <v>0</v>
      </c>
    </row>
    <row r="269" spans="1:23" ht="18.649999999999999" customHeight="1" x14ac:dyDescent="0.35">
      <c r="A269" s="6">
        <v>46225</v>
      </c>
      <c r="B269" s="7" t="s">
        <v>57</v>
      </c>
      <c r="C269" s="7">
        <v>25</v>
      </c>
      <c r="D269" s="6">
        <v>46223</v>
      </c>
      <c r="E269" s="8" t="s">
        <v>278</v>
      </c>
      <c r="F269" s="7" t="s">
        <v>39</v>
      </c>
      <c r="G269" s="8" t="s">
        <v>58</v>
      </c>
      <c r="H269" s="8" t="s">
        <v>280</v>
      </c>
      <c r="I269" s="7">
        <v>45</v>
      </c>
      <c r="J269" s="7"/>
      <c r="K269" s="7"/>
      <c r="L269" s="8" t="s">
        <v>42</v>
      </c>
      <c r="M269" s="8" t="s">
        <v>282</v>
      </c>
      <c r="N269" s="7" t="s">
        <v>72</v>
      </c>
      <c r="O269" s="7"/>
      <c r="P269" s="7"/>
      <c r="Q269" s="7"/>
      <c r="R269" s="7"/>
      <c r="S269" s="7"/>
      <c r="T269" s="7"/>
      <c r="U269" s="7"/>
      <c r="V269" s="8"/>
      <c r="W269" s="9">
        <f t="shared" si="4"/>
        <v>0</v>
      </c>
    </row>
    <row r="270" spans="1:23" ht="18.649999999999999" customHeight="1" x14ac:dyDescent="0.35">
      <c r="A270" s="6">
        <v>46226</v>
      </c>
      <c r="B270" s="7" t="s">
        <v>62</v>
      </c>
      <c r="C270" s="7">
        <v>25</v>
      </c>
      <c r="D270" s="6">
        <v>46223</v>
      </c>
      <c r="E270" s="8" t="s">
        <v>278</v>
      </c>
      <c r="F270" s="7" t="s">
        <v>53</v>
      </c>
      <c r="G270" s="8" t="s">
        <v>246</v>
      </c>
      <c r="H270" s="8" t="s">
        <v>280</v>
      </c>
      <c r="I270" s="7">
        <v>70</v>
      </c>
      <c r="J270" s="7"/>
      <c r="K270" s="7"/>
      <c r="L270" s="8" t="s">
        <v>224</v>
      </c>
      <c r="M270" s="8" t="s">
        <v>283</v>
      </c>
      <c r="N270" s="7" t="s">
        <v>72</v>
      </c>
      <c r="O270" s="7"/>
      <c r="P270" s="7"/>
      <c r="Q270" s="7"/>
      <c r="R270" s="7"/>
      <c r="S270" s="7"/>
      <c r="T270" s="7"/>
      <c r="U270" s="7"/>
      <c r="V270" s="8"/>
      <c r="W270" s="9">
        <f t="shared" si="4"/>
        <v>0</v>
      </c>
    </row>
    <row r="271" spans="1:23" ht="18.649999999999999" customHeight="1" x14ac:dyDescent="0.35">
      <c r="A271" s="6">
        <v>46226</v>
      </c>
      <c r="B271" s="7" t="s">
        <v>62</v>
      </c>
      <c r="C271" s="7">
        <v>25</v>
      </c>
      <c r="D271" s="6">
        <v>46223</v>
      </c>
      <c r="E271" s="8" t="s">
        <v>278</v>
      </c>
      <c r="F271" s="7" t="s">
        <v>39</v>
      </c>
      <c r="G271" s="8" t="s">
        <v>64</v>
      </c>
      <c r="H271" s="8" t="s">
        <v>280</v>
      </c>
      <c r="I271" s="7">
        <v>20</v>
      </c>
      <c r="J271" s="7"/>
      <c r="K271" s="7"/>
      <c r="L271" s="8" t="s">
        <v>42</v>
      </c>
      <c r="M271" s="8" t="s">
        <v>192</v>
      </c>
      <c r="N271" s="7" t="s">
        <v>72</v>
      </c>
      <c r="O271" s="7"/>
      <c r="P271" s="7"/>
      <c r="Q271" s="7"/>
      <c r="R271" s="7"/>
      <c r="S271" s="7"/>
      <c r="T271" s="7"/>
      <c r="U271" s="7"/>
      <c r="V271" s="8"/>
      <c r="W271" s="9">
        <f t="shared" si="4"/>
        <v>0</v>
      </c>
    </row>
    <row r="272" spans="1:23" ht="18.649999999999999" customHeight="1" x14ac:dyDescent="0.35">
      <c r="A272" s="6">
        <v>46227</v>
      </c>
      <c r="B272" s="7" t="s">
        <v>66</v>
      </c>
      <c r="C272" s="7">
        <v>25</v>
      </c>
      <c r="D272" s="6">
        <v>46223</v>
      </c>
      <c r="E272" s="8" t="s">
        <v>278</v>
      </c>
      <c r="F272" s="7" t="s">
        <v>46</v>
      </c>
      <c r="G272" s="8" t="s">
        <v>284</v>
      </c>
      <c r="H272" s="8" t="s">
        <v>280</v>
      </c>
      <c r="I272" s="7">
        <v>40</v>
      </c>
      <c r="J272" s="7">
        <v>1600</v>
      </c>
      <c r="K272" s="7" t="s">
        <v>49</v>
      </c>
      <c r="L272" s="8" t="s">
        <v>42</v>
      </c>
      <c r="M272" s="8" t="s">
        <v>285</v>
      </c>
      <c r="N272" s="7" t="s">
        <v>72</v>
      </c>
      <c r="O272" s="7"/>
      <c r="P272" s="7"/>
      <c r="Q272" s="7"/>
      <c r="R272" s="7"/>
      <c r="S272" s="7"/>
      <c r="T272" s="7"/>
      <c r="U272" s="7"/>
      <c r="V272" s="8"/>
      <c r="W272" s="9">
        <f t="shared" si="4"/>
        <v>0</v>
      </c>
    </row>
    <row r="273" spans="1:23" ht="18.649999999999999" customHeight="1" x14ac:dyDescent="0.35">
      <c r="A273" s="6">
        <v>46227</v>
      </c>
      <c r="B273" s="7" t="s">
        <v>66</v>
      </c>
      <c r="C273" s="7">
        <v>25</v>
      </c>
      <c r="D273" s="6">
        <v>46223</v>
      </c>
      <c r="E273" s="8" t="s">
        <v>278</v>
      </c>
      <c r="F273" s="7" t="s">
        <v>34</v>
      </c>
      <c r="G273" s="8" t="s">
        <v>70</v>
      </c>
      <c r="H273" s="8" t="s">
        <v>34</v>
      </c>
      <c r="I273" s="7">
        <v>35</v>
      </c>
      <c r="J273" s="7"/>
      <c r="K273" s="7"/>
      <c r="L273" s="8" t="s">
        <v>36</v>
      </c>
      <c r="M273" s="8" t="s">
        <v>71</v>
      </c>
      <c r="N273" s="7" t="s">
        <v>72</v>
      </c>
      <c r="O273" s="7"/>
      <c r="P273" s="7"/>
      <c r="Q273" s="7"/>
      <c r="R273" s="7"/>
      <c r="S273" s="7"/>
      <c r="T273" s="7"/>
      <c r="U273" s="7"/>
      <c r="V273" s="8"/>
      <c r="W273" s="9">
        <f t="shared" si="4"/>
        <v>0</v>
      </c>
    </row>
    <row r="274" spans="1:23" ht="18.649999999999999" customHeight="1" x14ac:dyDescent="0.35">
      <c r="A274" s="6">
        <v>46228</v>
      </c>
      <c r="B274" s="7" t="s">
        <v>73</v>
      </c>
      <c r="C274" s="7">
        <v>25</v>
      </c>
      <c r="D274" s="6">
        <v>46223</v>
      </c>
      <c r="E274" s="8" t="s">
        <v>278</v>
      </c>
      <c r="F274" s="7" t="s">
        <v>39</v>
      </c>
      <c r="G274" s="8" t="s">
        <v>286</v>
      </c>
      <c r="H274" s="8" t="s">
        <v>280</v>
      </c>
      <c r="I274" s="7">
        <v>90</v>
      </c>
      <c r="J274" s="7"/>
      <c r="K274" s="7"/>
      <c r="L274" s="8" t="s">
        <v>287</v>
      </c>
      <c r="M274" s="8" t="s">
        <v>288</v>
      </c>
      <c r="N274" s="7" t="s">
        <v>72</v>
      </c>
      <c r="O274" s="7"/>
      <c r="P274" s="7"/>
      <c r="Q274" s="7"/>
      <c r="R274" s="7"/>
      <c r="S274" s="7"/>
      <c r="T274" s="7"/>
      <c r="U274" s="7"/>
      <c r="V274" s="8"/>
      <c r="W274" s="9">
        <f t="shared" si="4"/>
        <v>0</v>
      </c>
    </row>
    <row r="275" spans="1:23" ht="18.649999999999999" customHeight="1" x14ac:dyDescent="0.35">
      <c r="A275" s="6">
        <v>46229</v>
      </c>
      <c r="B275" s="7" t="s">
        <v>77</v>
      </c>
      <c r="C275" s="7">
        <v>25</v>
      </c>
      <c r="D275" s="6">
        <v>46223</v>
      </c>
      <c r="E275" s="8" t="s">
        <v>278</v>
      </c>
      <c r="F275" s="7" t="s">
        <v>53</v>
      </c>
      <c r="G275" s="8" t="s">
        <v>289</v>
      </c>
      <c r="H275" s="8" t="s">
        <v>280</v>
      </c>
      <c r="I275" s="7">
        <v>150</v>
      </c>
      <c r="J275" s="7"/>
      <c r="K275" s="7"/>
      <c r="L275" s="8" t="s">
        <v>290</v>
      </c>
      <c r="M275" s="8" t="s">
        <v>291</v>
      </c>
      <c r="N275" s="7" t="s">
        <v>72</v>
      </c>
      <c r="O275" s="7"/>
      <c r="P275" s="7"/>
      <c r="Q275" s="7"/>
      <c r="R275" s="7"/>
      <c r="S275" s="7"/>
      <c r="T275" s="7"/>
      <c r="U275" s="7"/>
      <c r="V275" s="8"/>
      <c r="W275" s="9">
        <f t="shared" si="4"/>
        <v>0</v>
      </c>
    </row>
    <row r="276" spans="1:23" ht="18.649999999999999" customHeight="1" x14ac:dyDescent="0.35">
      <c r="A276" s="6">
        <v>46230</v>
      </c>
      <c r="B276" s="7" t="s">
        <v>32</v>
      </c>
      <c r="C276" s="7">
        <v>26</v>
      </c>
      <c r="D276" s="6">
        <v>46230</v>
      </c>
      <c r="E276" s="8" t="s">
        <v>292</v>
      </c>
      <c r="F276" s="7" t="s">
        <v>34</v>
      </c>
      <c r="G276" s="8" t="s">
        <v>35</v>
      </c>
      <c r="H276" s="8" t="s">
        <v>34</v>
      </c>
      <c r="I276" s="7">
        <v>45</v>
      </c>
      <c r="J276" s="7"/>
      <c r="K276" s="7"/>
      <c r="L276" s="8" t="s">
        <v>36</v>
      </c>
      <c r="M276" s="8" t="s">
        <v>37</v>
      </c>
      <c r="N276" s="7" t="s">
        <v>72</v>
      </c>
      <c r="O276" s="7"/>
      <c r="P276" s="7"/>
      <c r="Q276" s="7"/>
      <c r="R276" s="7"/>
      <c r="S276" s="7"/>
      <c r="T276" s="7"/>
      <c r="U276" s="7"/>
      <c r="V276" s="8"/>
      <c r="W276" s="9">
        <f t="shared" si="4"/>
        <v>0</v>
      </c>
    </row>
    <row r="277" spans="1:23" ht="18.649999999999999" customHeight="1" x14ac:dyDescent="0.35">
      <c r="A277" s="6">
        <v>46230</v>
      </c>
      <c r="B277" s="7" t="s">
        <v>32</v>
      </c>
      <c r="C277" s="7">
        <v>26</v>
      </c>
      <c r="D277" s="6">
        <v>46230</v>
      </c>
      <c r="E277" s="8" t="s">
        <v>292</v>
      </c>
      <c r="F277" s="7" t="s">
        <v>39</v>
      </c>
      <c r="G277" s="8" t="s">
        <v>40</v>
      </c>
      <c r="H277" s="8" t="s">
        <v>41</v>
      </c>
      <c r="I277" s="7">
        <v>25</v>
      </c>
      <c r="J277" s="7"/>
      <c r="K277" s="7"/>
      <c r="L277" s="8" t="s">
        <v>42</v>
      </c>
      <c r="M277" s="8" t="s">
        <v>43</v>
      </c>
      <c r="N277" s="7" t="s">
        <v>72</v>
      </c>
      <c r="O277" s="7"/>
      <c r="P277" s="7"/>
      <c r="Q277" s="7"/>
      <c r="R277" s="7"/>
      <c r="S277" s="7"/>
      <c r="T277" s="7"/>
      <c r="U277" s="7"/>
      <c r="V277" s="8"/>
      <c r="W277" s="9">
        <f t="shared" si="4"/>
        <v>0</v>
      </c>
    </row>
    <row r="278" spans="1:23" ht="18.649999999999999" customHeight="1" x14ac:dyDescent="0.35">
      <c r="A278" s="6">
        <v>46231</v>
      </c>
      <c r="B278" s="7" t="s">
        <v>45</v>
      </c>
      <c r="C278" s="7">
        <v>26</v>
      </c>
      <c r="D278" s="6">
        <v>46230</v>
      </c>
      <c r="E278" s="8" t="s">
        <v>292</v>
      </c>
      <c r="F278" s="7" t="s">
        <v>46</v>
      </c>
      <c r="G278" s="8" t="s">
        <v>293</v>
      </c>
      <c r="H278" s="8" t="s">
        <v>280</v>
      </c>
      <c r="I278" s="7">
        <v>40</v>
      </c>
      <c r="J278" s="7">
        <v>1600</v>
      </c>
      <c r="K278" s="7" t="s">
        <v>49</v>
      </c>
      <c r="L278" s="8" t="s">
        <v>294</v>
      </c>
      <c r="M278" s="8" t="s">
        <v>295</v>
      </c>
      <c r="N278" s="7" t="s">
        <v>72</v>
      </c>
      <c r="O278" s="7"/>
      <c r="P278" s="7"/>
      <c r="Q278" s="7"/>
      <c r="R278" s="7"/>
      <c r="S278" s="7"/>
      <c r="T278" s="7"/>
      <c r="U278" s="7"/>
      <c r="V278" s="8"/>
      <c r="W278" s="9">
        <f t="shared" si="4"/>
        <v>0</v>
      </c>
    </row>
    <row r="279" spans="1:23" ht="18.649999999999999" customHeight="1" x14ac:dyDescent="0.35">
      <c r="A279" s="6">
        <v>46231</v>
      </c>
      <c r="B279" s="7" t="s">
        <v>45</v>
      </c>
      <c r="C279" s="7">
        <v>26</v>
      </c>
      <c r="D279" s="6">
        <v>46230</v>
      </c>
      <c r="E279" s="8" t="s">
        <v>292</v>
      </c>
      <c r="F279" s="7" t="s">
        <v>53</v>
      </c>
      <c r="G279" s="8" t="s">
        <v>54</v>
      </c>
      <c r="H279" s="8" t="s">
        <v>280</v>
      </c>
      <c r="I279" s="7">
        <v>50</v>
      </c>
      <c r="J279" s="7"/>
      <c r="K279" s="7"/>
      <c r="L279" s="8" t="s">
        <v>42</v>
      </c>
      <c r="M279" s="8" t="s">
        <v>192</v>
      </c>
      <c r="N279" s="7" t="s">
        <v>72</v>
      </c>
      <c r="O279" s="7"/>
      <c r="P279" s="7"/>
      <c r="Q279" s="7"/>
      <c r="R279" s="7"/>
      <c r="S279" s="7"/>
      <c r="T279" s="7"/>
      <c r="U279" s="7"/>
      <c r="V279" s="8"/>
      <c r="W279" s="9">
        <f t="shared" si="4"/>
        <v>0</v>
      </c>
    </row>
    <row r="280" spans="1:23" ht="18.649999999999999" customHeight="1" x14ac:dyDescent="0.35">
      <c r="A280" s="6">
        <v>46232</v>
      </c>
      <c r="B280" s="7" t="s">
        <v>57</v>
      </c>
      <c r="C280" s="7">
        <v>26</v>
      </c>
      <c r="D280" s="6">
        <v>46230</v>
      </c>
      <c r="E280" s="8" t="s">
        <v>292</v>
      </c>
      <c r="F280" s="7" t="s">
        <v>39</v>
      </c>
      <c r="G280" s="8" t="s">
        <v>58</v>
      </c>
      <c r="H280" s="8" t="s">
        <v>280</v>
      </c>
      <c r="I280" s="7">
        <v>45</v>
      </c>
      <c r="J280" s="7"/>
      <c r="K280" s="7"/>
      <c r="L280" s="8" t="s">
        <v>42</v>
      </c>
      <c r="M280" s="8" t="s">
        <v>296</v>
      </c>
      <c r="N280" s="7" t="s">
        <v>72</v>
      </c>
      <c r="O280" s="7"/>
      <c r="P280" s="7"/>
      <c r="Q280" s="7"/>
      <c r="R280" s="7"/>
      <c r="S280" s="7"/>
      <c r="T280" s="7"/>
      <c r="U280" s="7"/>
      <c r="V280" s="8"/>
      <c r="W280" s="9">
        <f t="shared" si="4"/>
        <v>0</v>
      </c>
    </row>
    <row r="281" spans="1:23" ht="18.649999999999999" customHeight="1" x14ac:dyDescent="0.35">
      <c r="A281" s="6">
        <v>46233</v>
      </c>
      <c r="B281" s="7" t="s">
        <v>62</v>
      </c>
      <c r="C281" s="7">
        <v>26</v>
      </c>
      <c r="D281" s="6">
        <v>46230</v>
      </c>
      <c r="E281" s="8" t="s">
        <v>292</v>
      </c>
      <c r="F281" s="7" t="s">
        <v>53</v>
      </c>
      <c r="G281" s="8" t="s">
        <v>297</v>
      </c>
      <c r="H281" s="8" t="s">
        <v>280</v>
      </c>
      <c r="I281" s="7">
        <v>60</v>
      </c>
      <c r="J281" s="7"/>
      <c r="K281" s="7"/>
      <c r="L281" s="8" t="s">
        <v>224</v>
      </c>
      <c r="M281" s="8" t="s">
        <v>298</v>
      </c>
      <c r="N281" s="7" t="s">
        <v>72</v>
      </c>
      <c r="O281" s="7"/>
      <c r="P281" s="7"/>
      <c r="Q281" s="7"/>
      <c r="R281" s="7"/>
      <c r="S281" s="7"/>
      <c r="T281" s="7"/>
      <c r="U281" s="7"/>
      <c r="V281" s="8"/>
      <c r="W281" s="9">
        <f t="shared" si="4"/>
        <v>0</v>
      </c>
    </row>
    <row r="282" spans="1:23" ht="18.649999999999999" customHeight="1" x14ac:dyDescent="0.35">
      <c r="A282" s="6">
        <v>46233</v>
      </c>
      <c r="B282" s="7" t="s">
        <v>62</v>
      </c>
      <c r="C282" s="7">
        <v>26</v>
      </c>
      <c r="D282" s="6">
        <v>46230</v>
      </c>
      <c r="E282" s="8" t="s">
        <v>292</v>
      </c>
      <c r="F282" s="7" t="s">
        <v>39</v>
      </c>
      <c r="G282" s="8" t="s">
        <v>64</v>
      </c>
      <c r="H282" s="8" t="s">
        <v>280</v>
      </c>
      <c r="I282" s="7">
        <v>20</v>
      </c>
      <c r="J282" s="7"/>
      <c r="K282" s="7"/>
      <c r="L282" s="8" t="s">
        <v>42</v>
      </c>
      <c r="M282" s="8" t="s">
        <v>192</v>
      </c>
      <c r="N282" s="7" t="s">
        <v>72</v>
      </c>
      <c r="O282" s="7"/>
      <c r="P282" s="7"/>
      <c r="Q282" s="7"/>
      <c r="R282" s="7"/>
      <c r="S282" s="7"/>
      <c r="T282" s="7"/>
      <c r="U282" s="7"/>
      <c r="V282" s="8"/>
      <c r="W282" s="9">
        <f t="shared" si="4"/>
        <v>0</v>
      </c>
    </row>
    <row r="283" spans="1:23" ht="18.649999999999999" customHeight="1" x14ac:dyDescent="0.35">
      <c r="A283" s="6">
        <v>46234</v>
      </c>
      <c r="B283" s="7" t="s">
        <v>66</v>
      </c>
      <c r="C283" s="7">
        <v>26</v>
      </c>
      <c r="D283" s="6">
        <v>46230</v>
      </c>
      <c r="E283" s="8" t="s">
        <v>292</v>
      </c>
      <c r="F283" s="7" t="s">
        <v>46</v>
      </c>
      <c r="G283" s="8" t="s">
        <v>140</v>
      </c>
      <c r="H283" s="8" t="s">
        <v>280</v>
      </c>
      <c r="I283" s="7">
        <v>30</v>
      </c>
      <c r="J283" s="7">
        <v>1200</v>
      </c>
      <c r="K283" s="7" t="s">
        <v>49</v>
      </c>
      <c r="L283" s="8" t="s">
        <v>95</v>
      </c>
      <c r="M283" s="8" t="s">
        <v>192</v>
      </c>
      <c r="N283" s="7" t="s">
        <v>72</v>
      </c>
      <c r="O283" s="7"/>
      <c r="P283" s="7"/>
      <c r="Q283" s="7"/>
      <c r="R283" s="7"/>
      <c r="S283" s="7"/>
      <c r="T283" s="7"/>
      <c r="U283" s="7"/>
      <c r="V283" s="8"/>
      <c r="W283" s="9">
        <f t="shared" si="4"/>
        <v>0</v>
      </c>
    </row>
    <row r="284" spans="1:23" ht="18.649999999999999" customHeight="1" x14ac:dyDescent="0.35">
      <c r="A284" s="6">
        <v>46234</v>
      </c>
      <c r="B284" s="7" t="s">
        <v>66</v>
      </c>
      <c r="C284" s="7">
        <v>26</v>
      </c>
      <c r="D284" s="6">
        <v>46230</v>
      </c>
      <c r="E284" s="8" t="s">
        <v>292</v>
      </c>
      <c r="F284" s="7" t="s">
        <v>34</v>
      </c>
      <c r="G284" s="8" t="s">
        <v>70</v>
      </c>
      <c r="H284" s="8" t="s">
        <v>34</v>
      </c>
      <c r="I284" s="7">
        <v>35</v>
      </c>
      <c r="J284" s="7"/>
      <c r="K284" s="7"/>
      <c r="L284" s="8" t="s">
        <v>36</v>
      </c>
      <c r="M284" s="8" t="s">
        <v>71</v>
      </c>
      <c r="N284" s="7" t="s">
        <v>72</v>
      </c>
      <c r="O284" s="7"/>
      <c r="P284" s="7"/>
      <c r="Q284" s="7"/>
      <c r="R284" s="7"/>
      <c r="S284" s="7"/>
      <c r="T284" s="7"/>
      <c r="U284" s="7"/>
      <c r="V284" s="8"/>
      <c r="W284" s="9">
        <f t="shared" si="4"/>
        <v>0</v>
      </c>
    </row>
    <row r="285" spans="1:23" ht="18.649999999999999" customHeight="1" x14ac:dyDescent="0.35">
      <c r="A285" s="6">
        <v>46235</v>
      </c>
      <c r="B285" s="7" t="s">
        <v>73</v>
      </c>
      <c r="C285" s="7">
        <v>26</v>
      </c>
      <c r="D285" s="6">
        <v>46230</v>
      </c>
      <c r="E285" s="8" t="s">
        <v>292</v>
      </c>
      <c r="F285" s="7" t="s">
        <v>39</v>
      </c>
      <c r="G285" s="8" t="s">
        <v>267</v>
      </c>
      <c r="H285" s="8" t="s">
        <v>280</v>
      </c>
      <c r="I285" s="7">
        <v>45</v>
      </c>
      <c r="J285" s="7"/>
      <c r="K285" s="7"/>
      <c r="L285" s="8" t="s">
        <v>42</v>
      </c>
      <c r="M285" s="8" t="s">
        <v>192</v>
      </c>
      <c r="N285" s="7" t="s">
        <v>72</v>
      </c>
      <c r="O285" s="7"/>
      <c r="P285" s="7"/>
      <c r="Q285" s="7"/>
      <c r="R285" s="7"/>
      <c r="S285" s="7"/>
      <c r="T285" s="7"/>
      <c r="U285" s="7"/>
      <c r="V285" s="8"/>
      <c r="W285" s="9">
        <f t="shared" si="4"/>
        <v>0</v>
      </c>
    </row>
    <row r="286" spans="1:23" ht="18.649999999999999" customHeight="1" x14ac:dyDescent="0.35">
      <c r="A286" s="6">
        <v>46236</v>
      </c>
      <c r="B286" s="7" t="s">
        <v>77</v>
      </c>
      <c r="C286" s="7">
        <v>26</v>
      </c>
      <c r="D286" s="6">
        <v>46230</v>
      </c>
      <c r="E286" s="8" t="s">
        <v>292</v>
      </c>
      <c r="F286" s="7" t="s">
        <v>53</v>
      </c>
      <c r="G286" s="8" t="s">
        <v>143</v>
      </c>
      <c r="H286" s="8" t="s">
        <v>280</v>
      </c>
      <c r="I286" s="7">
        <v>90</v>
      </c>
      <c r="J286" s="7"/>
      <c r="K286" s="7"/>
      <c r="L286" s="8" t="s">
        <v>42</v>
      </c>
      <c r="M286" s="8" t="s">
        <v>192</v>
      </c>
      <c r="N286" s="7" t="s">
        <v>72</v>
      </c>
      <c r="O286" s="7"/>
      <c r="P286" s="7"/>
      <c r="Q286" s="7"/>
      <c r="R286" s="7"/>
      <c r="S286" s="7"/>
      <c r="T286" s="7"/>
      <c r="U286" s="7"/>
      <c r="V286" s="8"/>
      <c r="W286" s="9">
        <f t="shared" si="4"/>
        <v>0</v>
      </c>
    </row>
    <row r="287" spans="1:23" ht="18.649999999999999" customHeight="1" x14ac:dyDescent="0.35">
      <c r="A287" s="6">
        <v>46237</v>
      </c>
      <c r="B287" s="7" t="s">
        <v>32</v>
      </c>
      <c r="C287" s="7">
        <v>27</v>
      </c>
      <c r="D287" s="6">
        <v>46237</v>
      </c>
      <c r="E287" s="8" t="s">
        <v>299</v>
      </c>
      <c r="F287" s="7" t="s">
        <v>39</v>
      </c>
      <c r="G287" s="8" t="s">
        <v>300</v>
      </c>
      <c r="H287" s="8" t="s">
        <v>132</v>
      </c>
      <c r="I287" s="7">
        <v>30</v>
      </c>
      <c r="J287" s="7"/>
      <c r="K287" s="7"/>
      <c r="L287" s="8" t="s">
        <v>95</v>
      </c>
      <c r="M287" s="8" t="s">
        <v>98</v>
      </c>
      <c r="N287" s="7" t="s">
        <v>72</v>
      </c>
      <c r="O287" s="7"/>
      <c r="P287" s="7"/>
      <c r="Q287" s="7"/>
      <c r="R287" s="7"/>
      <c r="S287" s="7"/>
      <c r="T287" s="7"/>
      <c r="U287" s="7"/>
      <c r="V287" s="8"/>
      <c r="W287" s="9">
        <f t="shared" si="4"/>
        <v>0</v>
      </c>
    </row>
    <row r="288" spans="1:23" ht="18.649999999999999" customHeight="1" x14ac:dyDescent="0.35">
      <c r="A288" s="6">
        <v>46237</v>
      </c>
      <c r="B288" s="7" t="s">
        <v>32</v>
      </c>
      <c r="C288" s="7">
        <v>27</v>
      </c>
      <c r="D288" s="6">
        <v>46237</v>
      </c>
      <c r="E288" s="8" t="s">
        <v>299</v>
      </c>
      <c r="F288" s="7" t="s">
        <v>301</v>
      </c>
      <c r="G288" s="8" t="s">
        <v>302</v>
      </c>
      <c r="H288" s="8" t="s">
        <v>132</v>
      </c>
      <c r="I288" s="7">
        <v>20</v>
      </c>
      <c r="J288" s="7"/>
      <c r="K288" s="7"/>
      <c r="L288" s="8" t="s">
        <v>161</v>
      </c>
      <c r="M288" s="8" t="s">
        <v>303</v>
      </c>
      <c r="N288" s="7" t="s">
        <v>72</v>
      </c>
      <c r="O288" s="7"/>
      <c r="P288" s="7"/>
      <c r="Q288" s="7"/>
      <c r="R288" s="7"/>
      <c r="S288" s="7"/>
      <c r="T288" s="7"/>
      <c r="U288" s="7"/>
      <c r="V288" s="8"/>
      <c r="W288" s="9">
        <f t="shared" si="4"/>
        <v>0</v>
      </c>
    </row>
    <row r="289" spans="1:23" ht="18.649999999999999" customHeight="1" x14ac:dyDescent="0.35">
      <c r="A289" s="6">
        <v>46238</v>
      </c>
      <c r="B289" s="7" t="s">
        <v>45</v>
      </c>
      <c r="C289" s="7">
        <v>27</v>
      </c>
      <c r="D289" s="6">
        <v>46237</v>
      </c>
      <c r="E289" s="8" t="s">
        <v>299</v>
      </c>
      <c r="F289" s="7" t="s">
        <v>46</v>
      </c>
      <c r="G289" s="8" t="s">
        <v>304</v>
      </c>
      <c r="H289" s="8" t="s">
        <v>132</v>
      </c>
      <c r="I289" s="7">
        <v>35</v>
      </c>
      <c r="J289" s="7">
        <v>1200</v>
      </c>
      <c r="K289" s="7" t="s">
        <v>49</v>
      </c>
      <c r="L289" s="8" t="s">
        <v>95</v>
      </c>
      <c r="M289" s="8" t="s">
        <v>305</v>
      </c>
      <c r="N289" s="7" t="s">
        <v>72</v>
      </c>
      <c r="O289" s="7"/>
      <c r="P289" s="7"/>
      <c r="Q289" s="7"/>
      <c r="R289" s="7"/>
      <c r="S289" s="7"/>
      <c r="T289" s="7"/>
      <c r="U289" s="7"/>
      <c r="V289" s="8"/>
      <c r="W289" s="9">
        <f t="shared" si="4"/>
        <v>0</v>
      </c>
    </row>
    <row r="290" spans="1:23" ht="18.649999999999999" customHeight="1" x14ac:dyDescent="0.35">
      <c r="A290" s="6">
        <v>46239</v>
      </c>
      <c r="B290" s="7" t="s">
        <v>57</v>
      </c>
      <c r="C290" s="7">
        <v>27</v>
      </c>
      <c r="D290" s="6">
        <v>46237</v>
      </c>
      <c r="E290" s="8" t="s">
        <v>299</v>
      </c>
      <c r="F290" s="7" t="s">
        <v>53</v>
      </c>
      <c r="G290" s="8" t="s">
        <v>306</v>
      </c>
      <c r="H290" s="8" t="s">
        <v>132</v>
      </c>
      <c r="I290" s="7">
        <v>45</v>
      </c>
      <c r="J290" s="7"/>
      <c r="K290" s="7"/>
      <c r="L290" s="8" t="s">
        <v>228</v>
      </c>
      <c r="M290" s="8" t="s">
        <v>307</v>
      </c>
      <c r="N290" s="7" t="s">
        <v>72</v>
      </c>
      <c r="O290" s="7"/>
      <c r="P290" s="7"/>
      <c r="Q290" s="7"/>
      <c r="R290" s="7"/>
      <c r="S290" s="7"/>
      <c r="T290" s="7"/>
      <c r="U290" s="7"/>
      <c r="V290" s="8"/>
      <c r="W290" s="9">
        <f t="shared" si="4"/>
        <v>0</v>
      </c>
    </row>
    <row r="291" spans="1:23" ht="18.649999999999999" customHeight="1" x14ac:dyDescent="0.35">
      <c r="A291" s="6">
        <v>46240</v>
      </c>
      <c r="B291" s="7" t="s">
        <v>62</v>
      </c>
      <c r="C291" s="7">
        <v>27</v>
      </c>
      <c r="D291" s="6">
        <v>46237</v>
      </c>
      <c r="E291" s="8" t="s">
        <v>299</v>
      </c>
      <c r="F291" s="7" t="s">
        <v>39</v>
      </c>
      <c r="G291" s="8" t="s">
        <v>308</v>
      </c>
      <c r="H291" s="8" t="s">
        <v>132</v>
      </c>
      <c r="I291" s="7">
        <v>30</v>
      </c>
      <c r="J291" s="7"/>
      <c r="K291" s="7"/>
      <c r="L291" s="8" t="s">
        <v>309</v>
      </c>
      <c r="M291" s="8" t="s">
        <v>310</v>
      </c>
      <c r="N291" s="7" t="s">
        <v>72</v>
      </c>
      <c r="O291" s="7"/>
      <c r="P291" s="7"/>
      <c r="Q291" s="7"/>
      <c r="R291" s="7"/>
      <c r="S291" s="7"/>
      <c r="T291" s="7"/>
      <c r="U291" s="7"/>
      <c r="V291" s="8"/>
      <c r="W291" s="9">
        <f t="shared" si="4"/>
        <v>0</v>
      </c>
    </row>
    <row r="292" spans="1:23" ht="18.649999999999999" customHeight="1" x14ac:dyDescent="0.35">
      <c r="A292" s="6">
        <v>46241</v>
      </c>
      <c r="B292" s="7" t="s">
        <v>66</v>
      </c>
      <c r="C292" s="7">
        <v>27</v>
      </c>
      <c r="D292" s="6">
        <v>46237</v>
      </c>
      <c r="E292" s="8" t="s">
        <v>299</v>
      </c>
      <c r="F292" s="7" t="s">
        <v>46</v>
      </c>
      <c r="G292" s="8" t="s">
        <v>311</v>
      </c>
      <c r="H292" s="8" t="s">
        <v>132</v>
      </c>
      <c r="I292" s="7">
        <v>25</v>
      </c>
      <c r="J292" s="7">
        <v>900</v>
      </c>
      <c r="K292" s="7" t="s">
        <v>49</v>
      </c>
      <c r="L292" s="8" t="s">
        <v>95</v>
      </c>
      <c r="M292" s="8" t="s">
        <v>312</v>
      </c>
      <c r="N292" s="7" t="s">
        <v>72</v>
      </c>
      <c r="O292" s="7"/>
      <c r="P292" s="7"/>
      <c r="Q292" s="7"/>
      <c r="R292" s="7"/>
      <c r="S292" s="7"/>
      <c r="T292" s="7"/>
      <c r="U292" s="7"/>
      <c r="V292" s="8"/>
      <c r="W292" s="9">
        <f t="shared" si="4"/>
        <v>0</v>
      </c>
    </row>
    <row r="293" spans="1:23" ht="18.649999999999999" customHeight="1" x14ac:dyDescent="0.35">
      <c r="A293" s="6">
        <v>46242</v>
      </c>
      <c r="B293" s="7" t="s">
        <v>73</v>
      </c>
      <c r="C293" s="7">
        <v>27</v>
      </c>
      <c r="D293" s="6">
        <v>46237</v>
      </c>
      <c r="E293" s="8" t="s">
        <v>299</v>
      </c>
      <c r="F293" s="7" t="s">
        <v>53</v>
      </c>
      <c r="G293" s="8" t="s">
        <v>313</v>
      </c>
      <c r="H293" s="8" t="s">
        <v>132</v>
      </c>
      <c r="I293" s="7">
        <v>20</v>
      </c>
      <c r="J293" s="7"/>
      <c r="K293" s="7"/>
      <c r="L293" s="8" t="s">
        <v>95</v>
      </c>
      <c r="M293" s="8" t="s">
        <v>103</v>
      </c>
      <c r="N293" s="7" t="s">
        <v>72</v>
      </c>
      <c r="O293" s="7"/>
      <c r="P293" s="7"/>
      <c r="Q293" s="7"/>
      <c r="R293" s="7"/>
      <c r="S293" s="7"/>
      <c r="T293" s="7"/>
      <c r="U293" s="7"/>
      <c r="V293" s="8"/>
      <c r="W293" s="9">
        <f t="shared" si="4"/>
        <v>0</v>
      </c>
    </row>
    <row r="294" spans="1:23" ht="18.649999999999999" customHeight="1" x14ac:dyDescent="0.35">
      <c r="A294" s="6">
        <v>46242</v>
      </c>
      <c r="B294" s="7" t="s">
        <v>73</v>
      </c>
      <c r="C294" s="7">
        <v>27</v>
      </c>
      <c r="D294" s="6">
        <v>46237</v>
      </c>
      <c r="E294" s="8" t="s">
        <v>299</v>
      </c>
      <c r="F294" s="7" t="s">
        <v>39</v>
      </c>
      <c r="G294" s="8" t="s">
        <v>314</v>
      </c>
      <c r="H294" s="8" t="s">
        <v>132</v>
      </c>
      <c r="I294" s="7">
        <v>10</v>
      </c>
      <c r="J294" s="7"/>
      <c r="K294" s="7"/>
      <c r="L294" s="8" t="s">
        <v>315</v>
      </c>
      <c r="M294" s="8" t="s">
        <v>103</v>
      </c>
      <c r="N294" s="7" t="s">
        <v>72</v>
      </c>
      <c r="O294" s="7"/>
      <c r="P294" s="7"/>
      <c r="Q294" s="7"/>
      <c r="R294" s="7"/>
      <c r="S294" s="7"/>
      <c r="T294" s="7"/>
      <c r="U294" s="7"/>
      <c r="V294" s="8"/>
      <c r="W294" s="9">
        <f t="shared" si="4"/>
        <v>0</v>
      </c>
    </row>
    <row r="295" spans="1:23" ht="18.649999999999999" customHeight="1" x14ac:dyDescent="0.35">
      <c r="A295" s="6">
        <v>46243</v>
      </c>
      <c r="B295" s="7" t="s">
        <v>77</v>
      </c>
      <c r="C295" s="7">
        <v>27</v>
      </c>
      <c r="D295" s="6">
        <v>46237</v>
      </c>
      <c r="E295" s="8" t="s">
        <v>299</v>
      </c>
      <c r="F295" s="7" t="s">
        <v>155</v>
      </c>
      <c r="G295" s="8" t="s">
        <v>316</v>
      </c>
      <c r="H295" s="8" t="s">
        <v>157</v>
      </c>
      <c r="I295" s="7">
        <v>330</v>
      </c>
      <c r="J295" s="7"/>
      <c r="K295" s="7"/>
      <c r="L295" s="8" t="s">
        <v>317</v>
      </c>
      <c r="M295" s="8" t="s">
        <v>318</v>
      </c>
      <c r="N295" s="7" t="s">
        <v>72</v>
      </c>
      <c r="O295" s="7"/>
      <c r="P295" s="7"/>
      <c r="Q295" s="7"/>
      <c r="R295" s="7"/>
      <c r="S295" s="7"/>
      <c r="T295" s="7"/>
      <c r="U295" s="7"/>
      <c r="V295" s="8"/>
      <c r="W295" s="9">
        <f t="shared" si="4"/>
        <v>0</v>
      </c>
    </row>
  </sheetData>
  <conditionalFormatting sqref="A2:W295">
    <cfRule type="expression" dxfId="3" priority="1">
      <formula>$N2="Hecho"</formula>
    </cfRule>
    <cfRule type="expression" dxfId="2" priority="2">
      <formula>$N2="Parcial"</formula>
    </cfRule>
    <cfRule type="expression" dxfId="1" priority="3">
      <formula>$N2="Omitido"</formula>
    </cfRule>
    <cfRule type="expression" dxfId="0" priority="4">
      <formula>$N2="Pendiente"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workbookViewId="0"/>
  </sheetViews>
  <sheetFormatPr baseColWidth="10" defaultColWidth="8.7265625" defaultRowHeight="14.5" x14ac:dyDescent="0.35"/>
  <cols>
    <col min="1" max="3" width="16" customWidth="1"/>
    <col min="4" max="4" width="28" customWidth="1"/>
    <col min="5" max="15" width="16" customWidth="1"/>
  </cols>
  <sheetData>
    <row r="1" spans="1:15" ht="13.4" customHeight="1" x14ac:dyDescent="0.35">
      <c r="A1" s="5" t="s">
        <v>6</v>
      </c>
      <c r="B1" s="5" t="s">
        <v>319</v>
      </c>
      <c r="C1" s="5" t="s">
        <v>320</v>
      </c>
      <c r="D1" s="5" t="s">
        <v>13</v>
      </c>
      <c r="E1" s="5" t="s">
        <v>321</v>
      </c>
      <c r="F1" s="5" t="s">
        <v>322</v>
      </c>
      <c r="G1" s="5" t="s">
        <v>323</v>
      </c>
      <c r="H1" s="5" t="s">
        <v>324</v>
      </c>
      <c r="I1" s="5" t="s">
        <v>325</v>
      </c>
      <c r="J1" s="5" t="s">
        <v>326</v>
      </c>
      <c r="K1" s="5" t="s">
        <v>327</v>
      </c>
      <c r="L1" s="5" t="s">
        <v>328</v>
      </c>
      <c r="M1" s="5" t="s">
        <v>329</v>
      </c>
      <c r="N1" s="5" t="s">
        <v>330</v>
      </c>
      <c r="O1" s="5" t="s">
        <v>9</v>
      </c>
    </row>
    <row r="2" spans="1:15" ht="10.65" customHeight="1" x14ac:dyDescent="0.35">
      <c r="A2" s="8">
        <v>1</v>
      </c>
      <c r="B2" s="10">
        <v>46055</v>
      </c>
      <c r="C2" s="10">
        <v>46061</v>
      </c>
      <c r="D2" s="8" t="s">
        <v>33</v>
      </c>
      <c r="E2" s="11">
        <f>SUMIFS('Plan diario'!$I$2:$I$295,'Plan diario'!$D$2:$D$295,$B2)/60</f>
        <v>11.083333333333334</v>
      </c>
      <c r="F2" s="11">
        <f>SUMIFS('Plan diario'!$I$2:$I$295,'Plan diario'!$D$2:$D$295,$B2,'Plan diario'!$F$2:$F$295,"Natación")/60</f>
        <v>1.5</v>
      </c>
      <c r="G2" s="11">
        <f>SUMIFS('Plan diario'!$I$2:$I$295,'Plan diario'!$D$2:$D$295,$B2,'Plan diario'!$F$2:$F$295,"Bici")/60</f>
        <v>5.166666666666667</v>
      </c>
      <c r="H2" s="11">
        <f>SUMIFS('Plan diario'!$I$2:$I$295,'Plan diario'!$D$2:$D$295,$B2,'Plan diario'!$F$2:$F$295,"Running")/60</f>
        <v>3.0833333333333335</v>
      </c>
      <c r="I2" s="11">
        <f>SUMIFS('Plan diario'!$I$2:$I$295,'Plan diario'!$D$2:$D$295,$B2,'Plan diario'!$F$2:$F$295,"Fuerza")/60</f>
        <v>1.3333333333333333</v>
      </c>
      <c r="J2" s="11">
        <f>SUMIFS('Plan diario'!$W$2:$W$295,'Plan diario'!$D$2:$D$295,$B2)/60</f>
        <v>8.8666666666666671</v>
      </c>
      <c r="K2" s="11">
        <f>SUMIFS('Plan diario'!$W$2:$W$295,'Plan diario'!$D$2:$D$295,$B2,'Plan diario'!$F$2:$F$295,"Natación")/60</f>
        <v>1.4333333333333333</v>
      </c>
      <c r="L2" s="11">
        <f>SUMIFS('Plan diario'!$W$2:$W$295,'Plan diario'!$D$2:$D$295,$B2,'Plan diario'!$F$2:$F$295,"Bici")/60</f>
        <v>4.333333333333333</v>
      </c>
      <c r="M2" s="11">
        <f>SUMIFS('Plan diario'!$W$2:$W$295,'Plan diario'!$D$2:$D$295,$B2,'Plan diario'!$F$2:$F$295,"Running")/60</f>
        <v>2.35</v>
      </c>
      <c r="N2" s="11">
        <f>SUMIFS('Plan diario'!$W$2:$W$295,'Plan diario'!$D$2:$D$295,$B2,'Plan diario'!$F$2:$F$295,"Fuerza")/60</f>
        <v>0.75</v>
      </c>
      <c r="O2" s="12">
        <f t="shared" ref="O2:O28" si="0">IF($E2=0,"",$J2/$E2)</f>
        <v>0.8</v>
      </c>
    </row>
    <row r="3" spans="1:15" ht="10.65" customHeight="1" x14ac:dyDescent="0.35">
      <c r="A3" s="8">
        <v>2</v>
      </c>
      <c r="B3" s="10">
        <v>46062</v>
      </c>
      <c r="C3" s="10">
        <v>46068</v>
      </c>
      <c r="D3" s="8" t="s">
        <v>82</v>
      </c>
      <c r="E3" s="11">
        <f>SUMIFS('Plan diario'!$I$2:$I$295,'Plan diario'!$D$2:$D$295,$B3)/60</f>
        <v>11.5</v>
      </c>
      <c r="F3" s="11">
        <f>SUMIFS('Plan diario'!$I$2:$I$295,'Plan diario'!$D$2:$D$295,$B3,'Plan diario'!$F$2:$F$295,"Natación")/60</f>
        <v>1.5</v>
      </c>
      <c r="G3" s="11">
        <f>SUMIFS('Plan diario'!$I$2:$I$295,'Plan diario'!$D$2:$D$295,$B3,'Plan diario'!$F$2:$F$295,"Bici")/60</f>
        <v>5.5</v>
      </c>
      <c r="H3" s="11">
        <f>SUMIFS('Plan diario'!$I$2:$I$295,'Plan diario'!$D$2:$D$295,$B3,'Plan diario'!$F$2:$F$295,"Running")/60</f>
        <v>3.1666666666666665</v>
      </c>
      <c r="I3" s="11">
        <f>SUMIFS('Plan diario'!$I$2:$I$295,'Plan diario'!$D$2:$D$295,$B3,'Plan diario'!$F$2:$F$295,"Fuerza")/60</f>
        <v>1.3333333333333333</v>
      </c>
      <c r="J3" s="11">
        <f>SUMIFS('Plan diario'!$W$2:$W$295,'Plan diario'!$D$2:$D$295,$B3)/60</f>
        <v>6.3666666666666663</v>
      </c>
      <c r="K3" s="11">
        <f>SUMIFS('Plan diario'!$W$2:$W$295,'Plan diario'!$D$2:$D$295,$B3,'Plan diario'!$F$2:$F$295,"Natación")/60</f>
        <v>0.65</v>
      </c>
      <c r="L3" s="11">
        <f>SUMIFS('Plan diario'!$W$2:$W$295,'Plan diario'!$D$2:$D$295,$B3,'Plan diario'!$F$2:$F$295,"Bici")/60</f>
        <v>1.8333333333333333</v>
      </c>
      <c r="M3" s="11">
        <f>SUMIFS('Plan diario'!$W$2:$W$295,'Plan diario'!$D$2:$D$295,$B3,'Plan diario'!$F$2:$F$295,"Running")/60</f>
        <v>3.3833333333333333</v>
      </c>
      <c r="N3" s="11">
        <f>SUMIFS('Plan diario'!$W$2:$W$295,'Plan diario'!$D$2:$D$295,$B3,'Plan diario'!$F$2:$F$295,"Fuerza")/60</f>
        <v>0.5</v>
      </c>
      <c r="O3" s="12">
        <f t="shared" si="0"/>
        <v>0.55362318840579705</v>
      </c>
    </row>
    <row r="4" spans="1:15" ht="10.65" customHeight="1" x14ac:dyDescent="0.35">
      <c r="A4" s="8">
        <v>3</v>
      </c>
      <c r="B4" s="10">
        <v>46069</v>
      </c>
      <c r="C4" s="10">
        <v>46075</v>
      </c>
      <c r="D4" s="8" t="s">
        <v>85</v>
      </c>
      <c r="E4" s="11">
        <f>SUMIFS('Plan diario'!$I$2:$I$295,'Plan diario'!$D$2:$D$295,$B4)/60</f>
        <v>11.833333333333334</v>
      </c>
      <c r="F4" s="11">
        <f>SUMIFS('Plan diario'!$I$2:$I$295,'Plan diario'!$D$2:$D$295,$B4,'Plan diario'!$F$2:$F$295,"Natación")/60</f>
        <v>1.5</v>
      </c>
      <c r="G4" s="11">
        <f>SUMIFS('Plan diario'!$I$2:$I$295,'Plan diario'!$D$2:$D$295,$B4,'Plan diario'!$F$2:$F$295,"Bici")/60</f>
        <v>5.5</v>
      </c>
      <c r="H4" s="11">
        <f>SUMIFS('Plan diario'!$I$2:$I$295,'Plan diario'!$D$2:$D$295,$B4,'Plan diario'!$F$2:$F$295,"Running")/60</f>
        <v>3.5</v>
      </c>
      <c r="I4" s="11">
        <f>SUMIFS('Plan diario'!$I$2:$I$295,'Plan diario'!$D$2:$D$295,$B4,'Plan diario'!$F$2:$F$295,"Fuerza")/60</f>
        <v>1.3333333333333333</v>
      </c>
      <c r="J4" s="11">
        <f>SUMIFS('Plan diario'!$W$2:$W$295,'Plan diario'!$D$2:$D$295,$B4)/60</f>
        <v>9.5166666666666675</v>
      </c>
      <c r="K4" s="11">
        <f>SUMIFS('Plan diario'!$W$2:$W$295,'Plan diario'!$D$2:$D$295,$B4,'Plan diario'!$F$2:$F$295,"Natación")/60</f>
        <v>0.85</v>
      </c>
      <c r="L4" s="11">
        <f>SUMIFS('Plan diario'!$W$2:$W$295,'Plan diario'!$D$2:$D$295,$B4,'Plan diario'!$F$2:$F$295,"Bici")/60</f>
        <v>4.6166666666666663</v>
      </c>
      <c r="M4" s="11">
        <f>SUMIFS('Plan diario'!$W$2:$W$295,'Plan diario'!$D$2:$D$295,$B4,'Plan diario'!$F$2:$F$295,"Running")/60</f>
        <v>2.6666666666666665</v>
      </c>
      <c r="N4" s="11">
        <f>SUMIFS('Plan diario'!$W$2:$W$295,'Plan diario'!$D$2:$D$295,$B4,'Plan diario'!$F$2:$F$295,"Fuerza")/60</f>
        <v>1.3833333333333333</v>
      </c>
      <c r="O4" s="12">
        <f t="shared" si="0"/>
        <v>0.8042253521126761</v>
      </c>
    </row>
    <row r="5" spans="1:15" ht="10.65" customHeight="1" x14ac:dyDescent="0.35">
      <c r="A5" s="8">
        <v>4</v>
      </c>
      <c r="B5" s="10">
        <v>46076</v>
      </c>
      <c r="C5" s="10">
        <v>46082</v>
      </c>
      <c r="D5" s="8" t="s">
        <v>92</v>
      </c>
      <c r="E5" s="11">
        <f>SUMIFS('Plan diario'!$I$2:$I$295,'Plan diario'!$D$2:$D$295,$B5)/60</f>
        <v>9.4166666666666661</v>
      </c>
      <c r="F5" s="11">
        <f>SUMIFS('Plan diario'!$I$2:$I$295,'Plan diario'!$D$2:$D$295,$B5,'Plan diario'!$F$2:$F$295,"Natación")/60</f>
        <v>1.3333333333333333</v>
      </c>
      <c r="G5" s="11">
        <f>SUMIFS('Plan diario'!$I$2:$I$295,'Plan diario'!$D$2:$D$295,$B5,'Plan diario'!$F$2:$F$295,"Bici")/60</f>
        <v>4.25</v>
      </c>
      <c r="H5" s="11">
        <f>SUMIFS('Plan diario'!$I$2:$I$295,'Plan diario'!$D$2:$D$295,$B5,'Plan diario'!$F$2:$F$295,"Running")/60</f>
        <v>2.5</v>
      </c>
      <c r="I5" s="11">
        <f>SUMIFS('Plan diario'!$I$2:$I$295,'Plan diario'!$D$2:$D$295,$B5,'Plan diario'!$F$2:$F$295,"Fuerza")/60</f>
        <v>1.3333333333333333</v>
      </c>
      <c r="J5" s="11">
        <f>SUMIFS('Plan diario'!$W$2:$W$295,'Plan diario'!$D$2:$D$295,$B5)/60</f>
        <v>7.05</v>
      </c>
      <c r="K5" s="11">
        <f>SUMIFS('Plan diario'!$W$2:$W$295,'Plan diario'!$D$2:$D$295,$B5,'Plan diario'!$F$2:$F$295,"Natación")/60</f>
        <v>1.6666666666666667</v>
      </c>
      <c r="L5" s="11">
        <f>SUMIFS('Plan diario'!$W$2:$W$295,'Plan diario'!$D$2:$D$295,$B5,'Plan diario'!$F$2:$F$295,"Bici")/60</f>
        <v>2.4500000000000002</v>
      </c>
      <c r="M5" s="11">
        <f>SUMIFS('Plan diario'!$W$2:$W$295,'Plan diario'!$D$2:$D$295,$B5,'Plan diario'!$F$2:$F$295,"Running")/60</f>
        <v>1.7333333333333334</v>
      </c>
      <c r="N5" s="11">
        <f>SUMIFS('Plan diario'!$W$2:$W$295,'Plan diario'!$D$2:$D$295,$B5,'Plan diario'!$F$2:$F$295,"Fuerza")/60</f>
        <v>1.2</v>
      </c>
      <c r="O5" s="12">
        <f t="shared" si="0"/>
        <v>0.74867256637168145</v>
      </c>
    </row>
    <row r="6" spans="1:15" ht="10.65" customHeight="1" x14ac:dyDescent="0.35">
      <c r="A6" s="8">
        <v>5</v>
      </c>
      <c r="B6" s="10">
        <v>46083</v>
      </c>
      <c r="C6" s="10">
        <v>46089</v>
      </c>
      <c r="D6" s="8" t="s">
        <v>111</v>
      </c>
      <c r="E6" s="11">
        <f>SUMIFS('Plan diario'!$I$2:$I$295,'Plan diario'!$D$2:$D$295,$B6)/60</f>
        <v>12.25</v>
      </c>
      <c r="F6" s="11">
        <f>SUMIFS('Plan diario'!$I$2:$I$295,'Plan diario'!$D$2:$D$295,$B6,'Plan diario'!$F$2:$F$295,"Natación")/60</f>
        <v>1.5</v>
      </c>
      <c r="G6" s="11">
        <f>SUMIFS('Plan diario'!$I$2:$I$295,'Plan diario'!$D$2:$D$295,$B6,'Plan diario'!$F$2:$F$295,"Bici")/60</f>
        <v>5.75</v>
      </c>
      <c r="H6" s="11">
        <f>SUMIFS('Plan diario'!$I$2:$I$295,'Plan diario'!$D$2:$D$295,$B6,'Plan diario'!$F$2:$F$295,"Running")/60</f>
        <v>3.6666666666666665</v>
      </c>
      <c r="I6" s="11">
        <f>SUMIFS('Plan diario'!$I$2:$I$295,'Plan diario'!$D$2:$D$295,$B6,'Plan diario'!$F$2:$F$295,"Fuerza")/60</f>
        <v>1.3333333333333333</v>
      </c>
      <c r="J6" s="11">
        <f>SUMIFS('Plan diario'!$W$2:$W$295,'Plan diario'!$D$2:$D$295,$B6)/60</f>
        <v>4.6833333333333336</v>
      </c>
      <c r="K6" s="11">
        <f>SUMIFS('Plan diario'!$W$2:$W$295,'Plan diario'!$D$2:$D$295,$B6,'Plan diario'!$F$2:$F$295,"Natación")/60</f>
        <v>0.8</v>
      </c>
      <c r="L6" s="11">
        <f>SUMIFS('Plan diario'!$W$2:$W$295,'Plan diario'!$D$2:$D$295,$B6,'Plan diario'!$F$2:$F$295,"Bici")/60</f>
        <v>2.0499999999999998</v>
      </c>
      <c r="M6" s="11">
        <f>SUMIFS('Plan diario'!$W$2:$W$295,'Plan diario'!$D$2:$D$295,$B6,'Plan diario'!$F$2:$F$295,"Running")/60</f>
        <v>1.8333333333333333</v>
      </c>
      <c r="N6" s="11">
        <f>SUMIFS('Plan diario'!$W$2:$W$295,'Plan diario'!$D$2:$D$295,$B6,'Plan diario'!$F$2:$F$295,"Fuerza")/60</f>
        <v>0</v>
      </c>
      <c r="O6" s="12">
        <f t="shared" si="0"/>
        <v>0.38231292517006804</v>
      </c>
    </row>
    <row r="7" spans="1:15" ht="10.65" customHeight="1" x14ac:dyDescent="0.35">
      <c r="A7" s="8">
        <v>6</v>
      </c>
      <c r="B7" s="10">
        <v>46090</v>
      </c>
      <c r="C7" s="10">
        <v>46096</v>
      </c>
      <c r="D7" s="8" t="s">
        <v>111</v>
      </c>
      <c r="E7" s="11">
        <f>SUMIFS('Plan diario'!$I$2:$I$295,'Plan diario'!$D$2:$D$295,$B7)/60</f>
        <v>12.583333333333334</v>
      </c>
      <c r="F7" s="11">
        <f>SUMIFS('Plan diario'!$I$2:$I$295,'Plan diario'!$D$2:$D$295,$B7,'Plan diario'!$F$2:$F$295,"Natación")/60</f>
        <v>1.5</v>
      </c>
      <c r="G7" s="11">
        <f>SUMIFS('Plan diario'!$I$2:$I$295,'Plan diario'!$D$2:$D$295,$B7,'Plan diario'!$F$2:$F$295,"Bici")/60</f>
        <v>5.916666666666667</v>
      </c>
      <c r="H7" s="11">
        <f>SUMIFS('Plan diario'!$I$2:$I$295,'Plan diario'!$D$2:$D$295,$B7,'Plan diario'!$F$2:$F$295,"Running")/60</f>
        <v>3.8333333333333335</v>
      </c>
      <c r="I7" s="11">
        <f>SUMIFS('Plan diario'!$I$2:$I$295,'Plan diario'!$D$2:$D$295,$B7,'Plan diario'!$F$2:$F$295,"Fuerza")/60</f>
        <v>1.3333333333333333</v>
      </c>
      <c r="J7" s="11">
        <f>SUMIFS('Plan diario'!$W$2:$W$295,'Plan diario'!$D$2:$D$295,$B7)/60</f>
        <v>9.4499999999999993</v>
      </c>
      <c r="K7" s="11">
        <f>SUMIFS('Plan diario'!$W$2:$W$295,'Plan diario'!$D$2:$D$295,$B7,'Plan diario'!$F$2:$F$295,"Natación")/60</f>
        <v>0.53333333333333333</v>
      </c>
      <c r="L7" s="11">
        <f>SUMIFS('Plan diario'!$W$2:$W$295,'Plan diario'!$D$2:$D$295,$B7,'Plan diario'!$F$2:$F$295,"Bici")/60</f>
        <v>4.7666666666666666</v>
      </c>
      <c r="M7" s="11">
        <f>SUMIFS('Plan diario'!$W$2:$W$295,'Plan diario'!$D$2:$D$295,$B7,'Plan diario'!$F$2:$F$295,"Running")/60</f>
        <v>2.7666666666666666</v>
      </c>
      <c r="N7" s="11">
        <f>SUMIFS('Plan diario'!$W$2:$W$295,'Plan diario'!$D$2:$D$295,$B7,'Plan diario'!$F$2:$F$295,"Fuerza")/60</f>
        <v>1.3833333333333333</v>
      </c>
      <c r="O7" s="12">
        <f t="shared" si="0"/>
        <v>0.75099337748344364</v>
      </c>
    </row>
    <row r="8" spans="1:15" ht="10.65" customHeight="1" x14ac:dyDescent="0.35">
      <c r="A8" s="8">
        <v>7</v>
      </c>
      <c r="B8" s="10">
        <v>46097</v>
      </c>
      <c r="C8" s="10">
        <v>46103</v>
      </c>
      <c r="D8" s="8" t="s">
        <v>130</v>
      </c>
      <c r="E8" s="11">
        <f>SUMIFS('Plan diario'!$I$2:$I$295,'Plan diario'!$D$2:$D$295,$B8)/60</f>
        <v>8.5833333333333339</v>
      </c>
      <c r="F8" s="11">
        <f>SUMIFS('Plan diario'!$I$2:$I$295,'Plan diario'!$D$2:$D$295,$B8,'Plan diario'!$F$2:$F$295,"Natación")/60</f>
        <v>1.0833333333333333</v>
      </c>
      <c r="G8" s="11">
        <f>SUMIFS('Plan diario'!$I$2:$I$295,'Plan diario'!$D$2:$D$295,$B8,'Plan diario'!$F$2:$F$295,"Bici")/60</f>
        <v>3.6666666666666665</v>
      </c>
      <c r="H8" s="11">
        <f>SUMIFS('Plan diario'!$I$2:$I$295,'Plan diario'!$D$2:$D$295,$B8,'Plan diario'!$F$2:$F$295,"Running")/60</f>
        <v>2.5</v>
      </c>
      <c r="I8" s="11">
        <f>SUMIFS('Plan diario'!$I$2:$I$295,'Plan diario'!$D$2:$D$295,$B8,'Plan diario'!$F$2:$F$295,"Fuerza")/60</f>
        <v>1.3333333333333333</v>
      </c>
      <c r="J8" s="11">
        <f>SUMIFS('Plan diario'!$W$2:$W$295,'Plan diario'!$D$2:$D$295,$B8)/60</f>
        <v>3.2666666666666666</v>
      </c>
      <c r="K8" s="11">
        <f>SUMIFS('Plan diario'!$W$2:$W$295,'Plan diario'!$D$2:$D$295,$B8,'Plan diario'!$F$2:$F$295,"Natación")/60</f>
        <v>0.05</v>
      </c>
      <c r="L8" s="11">
        <f>SUMIFS('Plan diario'!$W$2:$W$295,'Plan diario'!$D$2:$D$295,$B8,'Plan diario'!$F$2:$F$295,"Bici")/60</f>
        <v>1.6666666666666667</v>
      </c>
      <c r="M8" s="11">
        <f>SUMIFS('Plan diario'!$W$2:$W$295,'Plan diario'!$D$2:$D$295,$B8,'Plan diario'!$F$2:$F$295,"Running")/60</f>
        <v>1.55</v>
      </c>
      <c r="N8" s="11">
        <f>SUMIFS('Plan diario'!$W$2:$W$295,'Plan diario'!$D$2:$D$295,$B8,'Plan diario'!$F$2:$F$295,"Fuerza")/60</f>
        <v>0</v>
      </c>
      <c r="O8" s="12">
        <f t="shared" si="0"/>
        <v>0.38058252427184464</v>
      </c>
    </row>
    <row r="9" spans="1:15" ht="10.65" customHeight="1" x14ac:dyDescent="0.35">
      <c r="A9" s="8">
        <v>8</v>
      </c>
      <c r="B9" s="10">
        <v>46104</v>
      </c>
      <c r="C9" s="10">
        <v>46110</v>
      </c>
      <c r="D9" s="8" t="s">
        <v>145</v>
      </c>
      <c r="E9" s="11">
        <f>SUMIFS('Plan diario'!$I$2:$I$295,'Plan diario'!$D$2:$D$295,$B9)/60</f>
        <v>10.083333333333334</v>
      </c>
      <c r="F9" s="11">
        <f>SUMIFS('Plan diario'!$I$2:$I$295,'Plan diario'!$D$2:$D$295,$B9,'Plan diario'!$F$2:$F$295,"Natación")/60</f>
        <v>1.25</v>
      </c>
      <c r="G9" s="11">
        <f>SUMIFS('Plan diario'!$I$2:$I$295,'Plan diario'!$D$2:$D$295,$B9,'Plan diario'!$F$2:$F$295,"Bici")/60</f>
        <v>3.1666666666666665</v>
      </c>
      <c r="H9" s="11">
        <f>SUMIFS('Plan diario'!$I$2:$I$295,'Plan diario'!$D$2:$D$295,$B9,'Plan diario'!$F$2:$F$295,"Running")/60</f>
        <v>1.6666666666666667</v>
      </c>
      <c r="I9" s="11">
        <f>SUMIFS('Plan diario'!$I$2:$I$295,'Plan diario'!$D$2:$D$295,$B9,'Plan diario'!$F$2:$F$295,"Fuerza")/60</f>
        <v>1</v>
      </c>
      <c r="J9" s="11">
        <f>SUMIFS('Plan diario'!$W$2:$W$295,'Plan diario'!$D$2:$D$295,$B9)/60</f>
        <v>0.58333333333333337</v>
      </c>
      <c r="K9" s="11">
        <f>SUMIFS('Plan diario'!$W$2:$W$295,'Plan diario'!$D$2:$D$295,$B9,'Plan diario'!$F$2:$F$295,"Natación")/60</f>
        <v>0</v>
      </c>
      <c r="L9" s="11">
        <f>SUMIFS('Plan diario'!$W$2:$W$295,'Plan diario'!$D$2:$D$295,$B9,'Plan diario'!$F$2:$F$295,"Bici")/60</f>
        <v>0</v>
      </c>
      <c r="M9" s="11">
        <f>SUMIFS('Plan diario'!$W$2:$W$295,'Plan diario'!$D$2:$D$295,$B9,'Plan diario'!$F$2:$F$295,"Running")/60</f>
        <v>0.58333333333333337</v>
      </c>
      <c r="N9" s="11">
        <f>SUMIFS('Plan diario'!$W$2:$W$295,'Plan diario'!$D$2:$D$295,$B9,'Plan diario'!$F$2:$F$295,"Fuerza")/60</f>
        <v>0</v>
      </c>
      <c r="O9" s="12">
        <f t="shared" si="0"/>
        <v>5.7851239669421489E-2</v>
      </c>
    </row>
    <row r="10" spans="1:15" ht="10.65" customHeight="1" x14ac:dyDescent="0.35">
      <c r="A10" s="8">
        <v>9</v>
      </c>
      <c r="B10" s="10">
        <v>46111</v>
      </c>
      <c r="C10" s="10">
        <v>46117</v>
      </c>
      <c r="D10" s="8" t="s">
        <v>171</v>
      </c>
      <c r="E10" s="11">
        <f>SUMIFS('Plan diario'!$I$2:$I$295,'Plan diario'!$D$2:$D$295,$B10)/60</f>
        <v>12.75</v>
      </c>
      <c r="F10" s="11">
        <f>SUMIFS('Plan diario'!$I$2:$I$295,'Plan diario'!$D$2:$D$295,$B10,'Plan diario'!$F$2:$F$295,"Natación")/60</f>
        <v>1.5</v>
      </c>
      <c r="G10" s="11">
        <f>SUMIFS('Plan diario'!$I$2:$I$295,'Plan diario'!$D$2:$D$295,$B10,'Plan diario'!$F$2:$F$295,"Bici")/60</f>
        <v>5.916666666666667</v>
      </c>
      <c r="H10" s="11">
        <f>SUMIFS('Plan diario'!$I$2:$I$295,'Plan diario'!$D$2:$D$295,$B10,'Plan diario'!$F$2:$F$295,"Running")/60</f>
        <v>4</v>
      </c>
      <c r="I10" s="11">
        <f>SUMIFS('Plan diario'!$I$2:$I$295,'Plan diario'!$D$2:$D$295,$B10,'Plan diario'!$F$2:$F$295,"Fuerza")/60</f>
        <v>1.3333333333333333</v>
      </c>
      <c r="J10" s="11">
        <f>SUMIFS('Plan diario'!$W$2:$W$295,'Plan diario'!$D$2:$D$295,$B10)/60</f>
        <v>8.5500000000000007</v>
      </c>
      <c r="K10" s="11">
        <f>SUMIFS('Plan diario'!$W$2:$W$295,'Plan diario'!$D$2:$D$295,$B10,'Plan diario'!$F$2:$F$295,"Natación")/60</f>
        <v>0</v>
      </c>
      <c r="L10" s="11">
        <f>SUMIFS('Plan diario'!$W$2:$W$295,'Plan diario'!$D$2:$D$295,$B10,'Plan diario'!$F$2:$F$295,"Bici")/60</f>
        <v>5</v>
      </c>
      <c r="M10" s="11">
        <f>SUMIFS('Plan diario'!$W$2:$W$295,'Plan diario'!$D$2:$D$295,$B10,'Plan diario'!$F$2:$F$295,"Running")/60</f>
        <v>3.05</v>
      </c>
      <c r="N10" s="11">
        <f>SUMIFS('Plan diario'!$W$2:$W$295,'Plan diario'!$D$2:$D$295,$B10,'Plan diario'!$F$2:$F$295,"Fuerza")/60</f>
        <v>0.5</v>
      </c>
      <c r="O10" s="12">
        <f t="shared" si="0"/>
        <v>0.67058823529411771</v>
      </c>
    </row>
    <row r="11" spans="1:15" ht="10.65" customHeight="1" x14ac:dyDescent="0.35">
      <c r="A11" s="8">
        <v>10</v>
      </c>
      <c r="B11" s="10">
        <v>46118</v>
      </c>
      <c r="C11" s="10">
        <v>46124</v>
      </c>
      <c r="D11" s="8" t="s">
        <v>171</v>
      </c>
      <c r="E11" s="11">
        <f>SUMIFS('Plan diario'!$I$2:$I$295,'Plan diario'!$D$2:$D$295,$B11)/60</f>
        <v>13</v>
      </c>
      <c r="F11" s="11">
        <f>SUMIFS('Plan diario'!$I$2:$I$295,'Plan diario'!$D$2:$D$295,$B11,'Plan diario'!$F$2:$F$295,"Natación")/60</f>
        <v>1.5</v>
      </c>
      <c r="G11" s="11">
        <f>SUMIFS('Plan diario'!$I$2:$I$295,'Plan diario'!$D$2:$D$295,$B11,'Plan diario'!$F$2:$F$295,"Bici")/60</f>
        <v>6.166666666666667</v>
      </c>
      <c r="H11" s="11">
        <f>SUMIFS('Plan diario'!$I$2:$I$295,'Plan diario'!$D$2:$D$295,$B11,'Plan diario'!$F$2:$F$295,"Running")/60</f>
        <v>4</v>
      </c>
      <c r="I11" s="11">
        <f>SUMIFS('Plan diario'!$I$2:$I$295,'Plan diario'!$D$2:$D$295,$B11,'Plan diario'!$F$2:$F$295,"Fuerza")/60</f>
        <v>1.3333333333333333</v>
      </c>
      <c r="J11" s="11">
        <f>SUMIFS('Plan diario'!$W$2:$W$295,'Plan diario'!$D$2:$D$295,$B11)/60</f>
        <v>10.6</v>
      </c>
      <c r="K11" s="11">
        <f>SUMIFS('Plan diario'!$W$2:$W$295,'Plan diario'!$D$2:$D$295,$B11,'Plan diario'!$F$2:$F$295,"Natación")/60</f>
        <v>0.6166666666666667</v>
      </c>
      <c r="L11" s="11">
        <f>SUMIFS('Plan diario'!$W$2:$W$295,'Plan diario'!$D$2:$D$295,$B11,'Plan diario'!$F$2:$F$295,"Bici")/60</f>
        <v>5.4666666666666668</v>
      </c>
      <c r="M11" s="11">
        <f>SUMIFS('Plan diario'!$W$2:$W$295,'Plan diario'!$D$2:$D$295,$B11,'Plan diario'!$F$2:$F$295,"Running")/60</f>
        <v>3.8333333333333335</v>
      </c>
      <c r="N11" s="11">
        <f>SUMIFS('Plan diario'!$W$2:$W$295,'Plan diario'!$D$2:$D$295,$B11,'Plan diario'!$F$2:$F$295,"Fuerza")/60</f>
        <v>0.68333333333333335</v>
      </c>
      <c r="O11" s="12">
        <f t="shared" si="0"/>
        <v>0.81538461538461537</v>
      </c>
    </row>
    <row r="12" spans="1:15" ht="10.65" customHeight="1" x14ac:dyDescent="0.35">
      <c r="A12" s="8">
        <v>11</v>
      </c>
      <c r="B12" s="10">
        <v>46125</v>
      </c>
      <c r="C12" s="10">
        <v>46131</v>
      </c>
      <c r="D12" s="8" t="s">
        <v>171</v>
      </c>
      <c r="E12" s="11">
        <f>SUMIFS('Plan diario'!$I$2:$I$295,'Plan diario'!$D$2:$D$295,$B12)/60</f>
        <v>13.25</v>
      </c>
      <c r="F12" s="11">
        <f>SUMIFS('Plan diario'!$I$2:$I$295,'Plan diario'!$D$2:$D$295,$B12,'Plan diario'!$F$2:$F$295,"Natación")/60</f>
        <v>1.5</v>
      </c>
      <c r="G12" s="11">
        <f>SUMIFS('Plan diario'!$I$2:$I$295,'Plan diario'!$D$2:$D$295,$B12,'Plan diario'!$F$2:$F$295,"Bici")/60</f>
        <v>6.333333333333333</v>
      </c>
      <c r="H12" s="11">
        <f>SUMIFS('Plan diario'!$I$2:$I$295,'Plan diario'!$D$2:$D$295,$B12,'Plan diario'!$F$2:$F$295,"Running")/60</f>
        <v>4.083333333333333</v>
      </c>
      <c r="I12" s="11">
        <f>SUMIFS('Plan diario'!$I$2:$I$295,'Plan diario'!$D$2:$D$295,$B12,'Plan diario'!$F$2:$F$295,"Fuerza")/60</f>
        <v>1.3333333333333333</v>
      </c>
      <c r="J12" s="11">
        <f>SUMIFS('Plan diario'!$W$2:$W$295,'Plan diario'!$D$2:$D$295,$B12)/60</f>
        <v>5.7833333333333332</v>
      </c>
      <c r="K12" s="11">
        <f>SUMIFS('Plan diario'!$W$2:$W$295,'Plan diario'!$D$2:$D$295,$B12,'Plan diario'!$F$2:$F$295,"Natación")/60</f>
        <v>0.53333333333333333</v>
      </c>
      <c r="L12" s="11">
        <f>SUMIFS('Plan diario'!$W$2:$W$295,'Plan diario'!$D$2:$D$295,$B12,'Plan diario'!$F$2:$F$295,"Bici")/60</f>
        <v>1</v>
      </c>
      <c r="M12" s="11">
        <f>SUMIFS('Plan diario'!$W$2:$W$295,'Plan diario'!$D$2:$D$295,$B12,'Plan diario'!$F$2:$F$295,"Running")/60</f>
        <v>3.5</v>
      </c>
      <c r="N12" s="11">
        <f>SUMIFS('Plan diario'!$W$2:$W$295,'Plan diario'!$D$2:$D$295,$B12,'Plan diario'!$F$2:$F$295,"Fuerza")/60</f>
        <v>0.75</v>
      </c>
      <c r="O12" s="12">
        <f t="shared" si="0"/>
        <v>0.43647798742138366</v>
      </c>
    </row>
    <row r="13" spans="1:15" ht="10.65" customHeight="1" x14ac:dyDescent="0.35">
      <c r="A13" s="8">
        <v>12</v>
      </c>
      <c r="B13" s="10">
        <v>46132</v>
      </c>
      <c r="C13" s="10">
        <v>46138</v>
      </c>
      <c r="D13" s="8" t="s">
        <v>190</v>
      </c>
      <c r="E13" s="11">
        <f>SUMIFS('Plan diario'!$I$2:$I$295,'Plan diario'!$D$2:$D$295,$B13)/60</f>
        <v>10.083333333333334</v>
      </c>
      <c r="F13" s="11">
        <f>SUMIFS('Plan diario'!$I$2:$I$295,'Plan diario'!$D$2:$D$295,$B13,'Plan diario'!$F$2:$F$295,"Natación")/60</f>
        <v>1.3333333333333333</v>
      </c>
      <c r="G13" s="11">
        <f>SUMIFS('Plan diario'!$I$2:$I$295,'Plan diario'!$D$2:$D$295,$B13,'Plan diario'!$F$2:$F$295,"Bici")/60</f>
        <v>1.9166666666666667</v>
      </c>
      <c r="H13" s="11">
        <f>SUMIFS('Plan diario'!$I$2:$I$295,'Plan diario'!$D$2:$D$295,$B13,'Plan diario'!$F$2:$F$295,"Running")/60</f>
        <v>3</v>
      </c>
      <c r="I13" s="11">
        <f>SUMIFS('Plan diario'!$I$2:$I$295,'Plan diario'!$D$2:$D$295,$B13,'Plan diario'!$F$2:$F$295,"Fuerza")/60</f>
        <v>1.3333333333333333</v>
      </c>
      <c r="J13" s="11">
        <f>SUMIFS('Plan diario'!$W$2:$W$295,'Plan diario'!$D$2:$D$295,$B13)/60</f>
        <v>4.0516666666666667</v>
      </c>
      <c r="K13" s="11">
        <f>SUMIFS('Plan diario'!$W$2:$W$295,'Plan diario'!$D$2:$D$295,$B13,'Plan diario'!$F$2:$F$295,"Natación")/60</f>
        <v>0.53333333333333333</v>
      </c>
      <c r="L13" s="11">
        <f>SUMIFS('Plan diario'!$W$2:$W$295,'Plan diario'!$D$2:$D$295,$B13,'Plan diario'!$F$2:$F$295,"Bici")/60</f>
        <v>0</v>
      </c>
      <c r="M13" s="11">
        <f>SUMIFS('Plan diario'!$W$2:$W$295,'Plan diario'!$D$2:$D$295,$B13,'Plan diario'!$F$2:$F$295,"Running")/60</f>
        <v>0</v>
      </c>
      <c r="N13" s="11">
        <f>SUMIFS('Plan diario'!$W$2:$W$295,'Plan diario'!$D$2:$D$295,$B13,'Plan diario'!$F$2:$F$295,"Fuerza")/60</f>
        <v>0.73333333333333328</v>
      </c>
      <c r="O13" s="12">
        <f t="shared" si="0"/>
        <v>0.4018181818181818</v>
      </c>
    </row>
    <row r="14" spans="1:15" ht="10.65" customHeight="1" x14ac:dyDescent="0.35">
      <c r="A14" s="8">
        <v>13</v>
      </c>
      <c r="B14" s="10">
        <v>46139</v>
      </c>
      <c r="C14" s="10">
        <v>46145</v>
      </c>
      <c r="D14" s="8" t="s">
        <v>195</v>
      </c>
      <c r="E14" s="11">
        <f>SUMIFS('Plan diario'!$I$2:$I$295,'Plan diario'!$D$2:$D$295,$B14)/60</f>
        <v>13.416666666666666</v>
      </c>
      <c r="F14" s="11">
        <f>SUMIFS('Plan diario'!$I$2:$I$295,'Plan diario'!$D$2:$D$295,$B14,'Plan diario'!$F$2:$F$295,"Natación")/60</f>
        <v>1.5</v>
      </c>
      <c r="G14" s="11">
        <f>SUMIFS('Plan diario'!$I$2:$I$295,'Plan diario'!$D$2:$D$295,$B14,'Plan diario'!$F$2:$F$295,"Bici")/60</f>
        <v>6.333333333333333</v>
      </c>
      <c r="H14" s="11">
        <f>SUMIFS('Plan diario'!$I$2:$I$295,'Plan diario'!$D$2:$D$295,$B14,'Plan diario'!$F$2:$F$295,"Running")/60</f>
        <v>4.25</v>
      </c>
      <c r="I14" s="11">
        <f>SUMIFS('Plan diario'!$I$2:$I$295,'Plan diario'!$D$2:$D$295,$B14,'Plan diario'!$F$2:$F$295,"Fuerza")/60</f>
        <v>1.3333333333333333</v>
      </c>
      <c r="J14" s="11">
        <f>SUMIFS('Plan diario'!$W$2:$W$295,'Plan diario'!$D$2:$D$295,$B14)/60</f>
        <v>0</v>
      </c>
      <c r="K14" s="11">
        <f>SUMIFS('Plan diario'!$W$2:$W$295,'Plan diario'!$D$2:$D$295,$B14,'Plan diario'!$F$2:$F$295,"Natación")/60</f>
        <v>0</v>
      </c>
      <c r="L14" s="11">
        <f>SUMIFS('Plan diario'!$W$2:$W$295,'Plan diario'!$D$2:$D$295,$B14,'Plan diario'!$F$2:$F$295,"Bici")/60</f>
        <v>0</v>
      </c>
      <c r="M14" s="11">
        <f>SUMIFS('Plan diario'!$W$2:$W$295,'Plan diario'!$D$2:$D$295,$B14,'Plan diario'!$F$2:$F$295,"Running")/60</f>
        <v>0</v>
      </c>
      <c r="N14" s="11">
        <f>SUMIFS('Plan diario'!$W$2:$W$295,'Plan diario'!$D$2:$D$295,$B14,'Plan diario'!$F$2:$F$295,"Fuerza")/60</f>
        <v>0</v>
      </c>
      <c r="O14" s="12">
        <f t="shared" si="0"/>
        <v>0</v>
      </c>
    </row>
    <row r="15" spans="1:15" ht="10.65" customHeight="1" x14ac:dyDescent="0.35">
      <c r="A15" s="8">
        <v>14</v>
      </c>
      <c r="B15" s="10">
        <v>46146</v>
      </c>
      <c r="C15" s="10">
        <v>46152</v>
      </c>
      <c r="D15" s="8" t="s">
        <v>195</v>
      </c>
      <c r="E15" s="11">
        <f>SUMIFS('Plan diario'!$I$2:$I$295,'Plan diario'!$D$2:$D$295,$B15)/60</f>
        <v>13.833333333333334</v>
      </c>
      <c r="F15" s="11">
        <f>SUMIFS('Plan diario'!$I$2:$I$295,'Plan diario'!$D$2:$D$295,$B15,'Plan diario'!$F$2:$F$295,"Natación")/60</f>
        <v>1.5</v>
      </c>
      <c r="G15" s="11">
        <f>SUMIFS('Plan diario'!$I$2:$I$295,'Plan diario'!$D$2:$D$295,$B15,'Plan diario'!$F$2:$F$295,"Bici")/60</f>
        <v>6.5</v>
      </c>
      <c r="H15" s="11">
        <f>SUMIFS('Plan diario'!$I$2:$I$295,'Plan diario'!$D$2:$D$295,$B15,'Plan diario'!$F$2:$F$295,"Running")/60</f>
        <v>4.5</v>
      </c>
      <c r="I15" s="11">
        <f>SUMIFS('Plan diario'!$I$2:$I$295,'Plan diario'!$D$2:$D$295,$B15,'Plan diario'!$F$2:$F$295,"Fuerza")/60</f>
        <v>1.3333333333333333</v>
      </c>
      <c r="J15" s="11">
        <f>SUMIFS('Plan diario'!$W$2:$W$295,'Plan diario'!$D$2:$D$295,$B15)/60</f>
        <v>0</v>
      </c>
      <c r="K15" s="11">
        <f>SUMIFS('Plan diario'!$W$2:$W$295,'Plan diario'!$D$2:$D$295,$B15,'Plan diario'!$F$2:$F$295,"Natación")/60</f>
        <v>0</v>
      </c>
      <c r="L15" s="11">
        <f>SUMIFS('Plan diario'!$W$2:$W$295,'Plan diario'!$D$2:$D$295,$B15,'Plan diario'!$F$2:$F$295,"Bici")/60</f>
        <v>0</v>
      </c>
      <c r="M15" s="11">
        <f>SUMIFS('Plan diario'!$W$2:$W$295,'Plan diario'!$D$2:$D$295,$B15,'Plan diario'!$F$2:$F$295,"Running")/60</f>
        <v>0</v>
      </c>
      <c r="N15" s="11">
        <f>SUMIFS('Plan diario'!$W$2:$W$295,'Plan diario'!$D$2:$D$295,$B15,'Plan diario'!$F$2:$F$295,"Fuerza")/60</f>
        <v>0</v>
      </c>
      <c r="O15" s="12">
        <f t="shared" si="0"/>
        <v>0</v>
      </c>
    </row>
    <row r="16" spans="1:15" ht="10.65" customHeight="1" x14ac:dyDescent="0.35">
      <c r="A16" s="8">
        <v>15</v>
      </c>
      <c r="B16" s="10">
        <v>46153</v>
      </c>
      <c r="C16" s="10">
        <v>46159</v>
      </c>
      <c r="D16" s="8" t="s">
        <v>195</v>
      </c>
      <c r="E16" s="11">
        <f>SUMIFS('Plan diario'!$I$2:$I$295,'Plan diario'!$D$2:$D$295,$B16)/60</f>
        <v>13.666666666666666</v>
      </c>
      <c r="F16" s="11">
        <f>SUMIFS('Plan diario'!$I$2:$I$295,'Plan diario'!$D$2:$D$295,$B16,'Plan diario'!$F$2:$F$295,"Natación")/60</f>
        <v>1.5</v>
      </c>
      <c r="G16" s="11">
        <f>SUMIFS('Plan diario'!$I$2:$I$295,'Plan diario'!$D$2:$D$295,$B16,'Plan diario'!$F$2:$F$295,"Bici")/60</f>
        <v>6.583333333333333</v>
      </c>
      <c r="H16" s="11">
        <f>SUMIFS('Plan diario'!$I$2:$I$295,'Plan diario'!$D$2:$D$295,$B16,'Plan diario'!$F$2:$F$295,"Running")/60</f>
        <v>4.25</v>
      </c>
      <c r="I16" s="11">
        <f>SUMIFS('Plan diario'!$I$2:$I$295,'Plan diario'!$D$2:$D$295,$B16,'Plan diario'!$F$2:$F$295,"Fuerza")/60</f>
        <v>1.3333333333333333</v>
      </c>
      <c r="J16" s="11">
        <f>SUMIFS('Plan diario'!$W$2:$W$295,'Plan diario'!$D$2:$D$295,$B16)/60</f>
        <v>0</v>
      </c>
      <c r="K16" s="11">
        <f>SUMIFS('Plan diario'!$W$2:$W$295,'Plan diario'!$D$2:$D$295,$B16,'Plan diario'!$F$2:$F$295,"Natación")/60</f>
        <v>0</v>
      </c>
      <c r="L16" s="11">
        <f>SUMIFS('Plan diario'!$W$2:$W$295,'Plan diario'!$D$2:$D$295,$B16,'Plan diario'!$F$2:$F$295,"Bici")/60</f>
        <v>0</v>
      </c>
      <c r="M16" s="11">
        <f>SUMIFS('Plan diario'!$W$2:$W$295,'Plan diario'!$D$2:$D$295,$B16,'Plan diario'!$F$2:$F$295,"Running")/60</f>
        <v>0</v>
      </c>
      <c r="N16" s="11">
        <f>SUMIFS('Plan diario'!$W$2:$W$295,'Plan diario'!$D$2:$D$295,$B16,'Plan diario'!$F$2:$F$295,"Fuerza")/60</f>
        <v>0</v>
      </c>
      <c r="O16" s="12">
        <f t="shared" si="0"/>
        <v>0</v>
      </c>
    </row>
    <row r="17" spans="1:15" ht="10.65" customHeight="1" x14ac:dyDescent="0.35">
      <c r="A17" s="8">
        <v>16</v>
      </c>
      <c r="B17" s="10">
        <v>46160</v>
      </c>
      <c r="C17" s="10">
        <v>46166</v>
      </c>
      <c r="D17" s="8" t="s">
        <v>190</v>
      </c>
      <c r="E17" s="11">
        <f>SUMIFS('Plan diario'!$I$2:$I$295,'Plan diario'!$D$2:$D$295,$B17)/60</f>
        <v>11.083333333333334</v>
      </c>
      <c r="F17" s="11">
        <f>SUMIFS('Plan diario'!$I$2:$I$295,'Plan diario'!$D$2:$D$295,$B17,'Plan diario'!$F$2:$F$295,"Natación")/60</f>
        <v>1.3333333333333333</v>
      </c>
      <c r="G17" s="11">
        <f>SUMIFS('Plan diario'!$I$2:$I$295,'Plan diario'!$D$2:$D$295,$B17,'Plan diario'!$F$2:$F$295,"Bici")/60</f>
        <v>5.25</v>
      </c>
      <c r="H17" s="11">
        <f>SUMIFS('Plan diario'!$I$2:$I$295,'Plan diario'!$D$2:$D$295,$B17,'Plan diario'!$F$2:$F$295,"Running")/60</f>
        <v>3.1666666666666665</v>
      </c>
      <c r="I17" s="11">
        <f>SUMIFS('Plan diario'!$I$2:$I$295,'Plan diario'!$D$2:$D$295,$B17,'Plan diario'!$F$2:$F$295,"Fuerza")/60</f>
        <v>1.3333333333333333</v>
      </c>
      <c r="J17" s="11">
        <f>SUMIFS('Plan diario'!$W$2:$W$295,'Plan diario'!$D$2:$D$295,$B17)/60</f>
        <v>0</v>
      </c>
      <c r="K17" s="11">
        <f>SUMIFS('Plan diario'!$W$2:$W$295,'Plan diario'!$D$2:$D$295,$B17,'Plan diario'!$F$2:$F$295,"Natación")/60</f>
        <v>0</v>
      </c>
      <c r="L17" s="11">
        <f>SUMIFS('Plan diario'!$W$2:$W$295,'Plan diario'!$D$2:$D$295,$B17,'Plan diario'!$F$2:$F$295,"Bici")/60</f>
        <v>0</v>
      </c>
      <c r="M17" s="11">
        <f>SUMIFS('Plan diario'!$W$2:$W$295,'Plan diario'!$D$2:$D$295,$B17,'Plan diario'!$F$2:$F$295,"Running")/60</f>
        <v>0</v>
      </c>
      <c r="N17" s="11">
        <f>SUMIFS('Plan diario'!$W$2:$W$295,'Plan diario'!$D$2:$D$295,$B17,'Plan diario'!$F$2:$F$295,"Fuerza")/60</f>
        <v>0</v>
      </c>
      <c r="O17" s="12">
        <f t="shared" si="0"/>
        <v>0</v>
      </c>
    </row>
    <row r="18" spans="1:15" ht="10.65" customHeight="1" x14ac:dyDescent="0.35">
      <c r="A18" s="8">
        <v>17</v>
      </c>
      <c r="B18" s="10">
        <v>46167</v>
      </c>
      <c r="C18" s="10">
        <v>46173</v>
      </c>
      <c r="D18" s="8" t="s">
        <v>221</v>
      </c>
      <c r="E18" s="11">
        <f>SUMIFS('Plan diario'!$I$2:$I$295,'Plan diario'!$D$2:$D$295,$B18)/60</f>
        <v>14.166666666666666</v>
      </c>
      <c r="F18" s="11">
        <f>SUMIFS('Plan diario'!$I$2:$I$295,'Plan diario'!$D$2:$D$295,$B18,'Plan diario'!$F$2:$F$295,"Natación")/60</f>
        <v>1.5</v>
      </c>
      <c r="G18" s="11">
        <f>SUMIFS('Plan diario'!$I$2:$I$295,'Plan diario'!$D$2:$D$295,$B18,'Plan diario'!$F$2:$F$295,"Bici")/60</f>
        <v>6.666666666666667</v>
      </c>
      <c r="H18" s="11">
        <f>SUMIFS('Plan diario'!$I$2:$I$295,'Plan diario'!$D$2:$D$295,$B18,'Plan diario'!$F$2:$F$295,"Running")/60</f>
        <v>4.666666666666667</v>
      </c>
      <c r="I18" s="11">
        <f>SUMIFS('Plan diario'!$I$2:$I$295,'Plan diario'!$D$2:$D$295,$B18,'Plan diario'!$F$2:$F$295,"Fuerza")/60</f>
        <v>1.3333333333333333</v>
      </c>
      <c r="J18" s="11">
        <f>SUMIFS('Plan diario'!$W$2:$W$295,'Plan diario'!$D$2:$D$295,$B18)/60</f>
        <v>0</v>
      </c>
      <c r="K18" s="11">
        <f>SUMIFS('Plan diario'!$W$2:$W$295,'Plan diario'!$D$2:$D$295,$B18,'Plan diario'!$F$2:$F$295,"Natación")/60</f>
        <v>0</v>
      </c>
      <c r="L18" s="11">
        <f>SUMIFS('Plan diario'!$W$2:$W$295,'Plan diario'!$D$2:$D$295,$B18,'Plan diario'!$F$2:$F$295,"Bici")/60</f>
        <v>0</v>
      </c>
      <c r="M18" s="11">
        <f>SUMIFS('Plan diario'!$W$2:$W$295,'Plan diario'!$D$2:$D$295,$B18,'Plan diario'!$F$2:$F$295,"Running")/60</f>
        <v>0</v>
      </c>
      <c r="N18" s="11">
        <f>SUMIFS('Plan diario'!$W$2:$W$295,'Plan diario'!$D$2:$D$295,$B18,'Plan diario'!$F$2:$F$295,"Fuerza")/60</f>
        <v>0</v>
      </c>
      <c r="O18" s="12">
        <f t="shared" si="0"/>
        <v>0</v>
      </c>
    </row>
    <row r="19" spans="1:15" ht="10.65" customHeight="1" x14ac:dyDescent="0.35">
      <c r="A19" s="8">
        <v>18</v>
      </c>
      <c r="B19" s="10">
        <v>46174</v>
      </c>
      <c r="C19" s="10">
        <v>46180</v>
      </c>
      <c r="D19" s="8" t="s">
        <v>221</v>
      </c>
      <c r="E19" s="11">
        <f>SUMIFS('Plan diario'!$I$2:$I$295,'Plan diario'!$D$2:$D$295,$B19)/60</f>
        <v>14.416666666666666</v>
      </c>
      <c r="F19" s="11">
        <f>SUMIFS('Plan diario'!$I$2:$I$295,'Plan diario'!$D$2:$D$295,$B19,'Plan diario'!$F$2:$F$295,"Natación")/60</f>
        <v>1.5</v>
      </c>
      <c r="G19" s="11">
        <f>SUMIFS('Plan diario'!$I$2:$I$295,'Plan diario'!$D$2:$D$295,$B19,'Plan diario'!$F$2:$F$295,"Bici")/60</f>
        <v>6.833333333333333</v>
      </c>
      <c r="H19" s="11">
        <f>SUMIFS('Plan diario'!$I$2:$I$295,'Plan diario'!$D$2:$D$295,$B19,'Plan diario'!$F$2:$F$295,"Running")/60</f>
        <v>4.75</v>
      </c>
      <c r="I19" s="11">
        <f>SUMIFS('Plan diario'!$I$2:$I$295,'Plan diario'!$D$2:$D$295,$B19,'Plan diario'!$F$2:$F$295,"Fuerza")/60</f>
        <v>1.3333333333333333</v>
      </c>
      <c r="J19" s="11">
        <f>SUMIFS('Plan diario'!$W$2:$W$295,'Plan diario'!$D$2:$D$295,$B19)/60</f>
        <v>0</v>
      </c>
      <c r="K19" s="11">
        <f>SUMIFS('Plan diario'!$W$2:$W$295,'Plan diario'!$D$2:$D$295,$B19,'Plan diario'!$F$2:$F$295,"Natación")/60</f>
        <v>0</v>
      </c>
      <c r="L19" s="11">
        <f>SUMIFS('Plan diario'!$W$2:$W$295,'Plan diario'!$D$2:$D$295,$B19,'Plan diario'!$F$2:$F$295,"Bici")/60</f>
        <v>0</v>
      </c>
      <c r="M19" s="11">
        <f>SUMIFS('Plan diario'!$W$2:$W$295,'Plan diario'!$D$2:$D$295,$B19,'Plan diario'!$F$2:$F$295,"Running")/60</f>
        <v>0</v>
      </c>
      <c r="N19" s="11">
        <f>SUMIFS('Plan diario'!$W$2:$W$295,'Plan diario'!$D$2:$D$295,$B19,'Plan diario'!$F$2:$F$295,"Fuerza")/60</f>
        <v>0</v>
      </c>
      <c r="O19" s="12">
        <f t="shared" si="0"/>
        <v>0</v>
      </c>
    </row>
    <row r="20" spans="1:15" ht="10.65" customHeight="1" x14ac:dyDescent="0.35">
      <c r="A20" s="8">
        <v>19</v>
      </c>
      <c r="B20" s="10">
        <v>46181</v>
      </c>
      <c r="C20" s="10">
        <v>46187</v>
      </c>
      <c r="D20" s="8" t="s">
        <v>221</v>
      </c>
      <c r="E20" s="11">
        <f>SUMIFS('Plan diario'!$I$2:$I$295,'Plan diario'!$D$2:$D$295,$B20)/60</f>
        <v>13.916666666666666</v>
      </c>
      <c r="F20" s="11">
        <f>SUMIFS('Plan diario'!$I$2:$I$295,'Plan diario'!$D$2:$D$295,$B20,'Plan diario'!$F$2:$F$295,"Natación")/60</f>
        <v>1.5</v>
      </c>
      <c r="G20" s="11">
        <f>SUMIFS('Plan diario'!$I$2:$I$295,'Plan diario'!$D$2:$D$295,$B20,'Plan diario'!$F$2:$F$295,"Bici")/60</f>
        <v>6.583333333333333</v>
      </c>
      <c r="H20" s="11">
        <f>SUMIFS('Plan diario'!$I$2:$I$295,'Plan diario'!$D$2:$D$295,$B20,'Plan diario'!$F$2:$F$295,"Running")/60</f>
        <v>4.5</v>
      </c>
      <c r="I20" s="11">
        <f>SUMIFS('Plan diario'!$I$2:$I$295,'Plan diario'!$D$2:$D$295,$B20,'Plan diario'!$F$2:$F$295,"Fuerza")/60</f>
        <v>1.3333333333333333</v>
      </c>
      <c r="J20" s="11">
        <f>SUMIFS('Plan diario'!$W$2:$W$295,'Plan diario'!$D$2:$D$295,$B20)/60</f>
        <v>0</v>
      </c>
      <c r="K20" s="11">
        <f>SUMIFS('Plan diario'!$W$2:$W$295,'Plan diario'!$D$2:$D$295,$B20,'Plan diario'!$F$2:$F$295,"Natación")/60</f>
        <v>0</v>
      </c>
      <c r="L20" s="11">
        <f>SUMIFS('Plan diario'!$W$2:$W$295,'Plan diario'!$D$2:$D$295,$B20,'Plan diario'!$F$2:$F$295,"Bici")/60</f>
        <v>0</v>
      </c>
      <c r="M20" s="11">
        <f>SUMIFS('Plan diario'!$W$2:$W$295,'Plan diario'!$D$2:$D$295,$B20,'Plan diario'!$F$2:$F$295,"Running")/60</f>
        <v>0</v>
      </c>
      <c r="N20" s="11">
        <f>SUMIFS('Plan diario'!$W$2:$W$295,'Plan diario'!$D$2:$D$295,$B20,'Plan diario'!$F$2:$F$295,"Fuerza")/60</f>
        <v>0</v>
      </c>
      <c r="O20" s="12">
        <f t="shared" si="0"/>
        <v>0</v>
      </c>
    </row>
    <row r="21" spans="1:15" ht="10.65" customHeight="1" x14ac:dyDescent="0.35">
      <c r="A21" s="8">
        <v>20</v>
      </c>
      <c r="B21" s="10">
        <v>46188</v>
      </c>
      <c r="C21" s="10">
        <v>46194</v>
      </c>
      <c r="D21" s="8" t="s">
        <v>190</v>
      </c>
      <c r="E21" s="11">
        <f>SUMIFS('Plan diario'!$I$2:$I$295,'Plan diario'!$D$2:$D$295,$B21)/60</f>
        <v>11.166666666666666</v>
      </c>
      <c r="F21" s="11">
        <f>SUMIFS('Plan diario'!$I$2:$I$295,'Plan diario'!$D$2:$D$295,$B21,'Plan diario'!$F$2:$F$295,"Natación")/60</f>
        <v>1.3333333333333333</v>
      </c>
      <c r="G21" s="11">
        <f>SUMIFS('Plan diario'!$I$2:$I$295,'Plan diario'!$D$2:$D$295,$B21,'Plan diario'!$F$2:$F$295,"Bici")/60</f>
        <v>5.25</v>
      </c>
      <c r="H21" s="11">
        <f>SUMIFS('Plan diario'!$I$2:$I$295,'Plan diario'!$D$2:$D$295,$B21,'Plan diario'!$F$2:$F$295,"Running")/60</f>
        <v>3.25</v>
      </c>
      <c r="I21" s="11">
        <f>SUMIFS('Plan diario'!$I$2:$I$295,'Plan diario'!$D$2:$D$295,$B21,'Plan diario'!$F$2:$F$295,"Fuerza")/60</f>
        <v>1.3333333333333333</v>
      </c>
      <c r="J21" s="11">
        <f>SUMIFS('Plan diario'!$W$2:$W$295,'Plan diario'!$D$2:$D$295,$B21)/60</f>
        <v>0</v>
      </c>
      <c r="K21" s="11">
        <f>SUMIFS('Plan diario'!$W$2:$W$295,'Plan diario'!$D$2:$D$295,$B21,'Plan diario'!$F$2:$F$295,"Natación")/60</f>
        <v>0</v>
      </c>
      <c r="L21" s="11">
        <f>SUMIFS('Plan diario'!$W$2:$W$295,'Plan diario'!$D$2:$D$295,$B21,'Plan diario'!$F$2:$F$295,"Bici")/60</f>
        <v>0</v>
      </c>
      <c r="M21" s="11">
        <f>SUMIFS('Plan diario'!$W$2:$W$295,'Plan diario'!$D$2:$D$295,$B21,'Plan diario'!$F$2:$F$295,"Running")/60</f>
        <v>0</v>
      </c>
      <c r="N21" s="11">
        <f>SUMIFS('Plan diario'!$W$2:$W$295,'Plan diario'!$D$2:$D$295,$B21,'Plan diario'!$F$2:$F$295,"Fuerza")/60</f>
        <v>0</v>
      </c>
      <c r="O21" s="12">
        <f t="shared" si="0"/>
        <v>0</v>
      </c>
    </row>
    <row r="22" spans="1:15" ht="10.65" customHeight="1" x14ac:dyDescent="0.35">
      <c r="A22" s="8">
        <v>21</v>
      </c>
      <c r="B22" s="10">
        <v>46195</v>
      </c>
      <c r="C22" s="10">
        <v>46201</v>
      </c>
      <c r="D22" s="8" t="s">
        <v>244</v>
      </c>
      <c r="E22" s="11">
        <f>SUMIFS('Plan diario'!$I$2:$I$295,'Plan diario'!$D$2:$D$295,$B22)/60</f>
        <v>13.333333333333334</v>
      </c>
      <c r="F22" s="11">
        <f>SUMIFS('Plan diario'!$I$2:$I$295,'Plan diario'!$D$2:$D$295,$B22,'Plan diario'!$F$2:$F$295,"Natación")/60</f>
        <v>1.5</v>
      </c>
      <c r="G22" s="11">
        <f>SUMIFS('Plan diario'!$I$2:$I$295,'Plan diario'!$D$2:$D$295,$B22,'Plan diario'!$F$2:$F$295,"Bici")/60</f>
        <v>5.583333333333333</v>
      </c>
      <c r="H22" s="11">
        <f>SUMIFS('Plan diario'!$I$2:$I$295,'Plan diario'!$D$2:$D$295,$B22,'Plan diario'!$F$2:$F$295,"Running")/60</f>
        <v>4.916666666666667</v>
      </c>
      <c r="I22" s="11">
        <f>SUMIFS('Plan diario'!$I$2:$I$295,'Plan diario'!$D$2:$D$295,$B22,'Plan diario'!$F$2:$F$295,"Fuerza")/60</f>
        <v>1.3333333333333333</v>
      </c>
      <c r="J22" s="11">
        <f>SUMIFS('Plan diario'!$W$2:$W$295,'Plan diario'!$D$2:$D$295,$B22)/60</f>
        <v>0</v>
      </c>
      <c r="K22" s="11">
        <f>SUMIFS('Plan diario'!$W$2:$W$295,'Plan diario'!$D$2:$D$295,$B22,'Plan diario'!$F$2:$F$295,"Natación")/60</f>
        <v>0</v>
      </c>
      <c r="L22" s="11">
        <f>SUMIFS('Plan diario'!$W$2:$W$295,'Plan diario'!$D$2:$D$295,$B22,'Plan diario'!$F$2:$F$295,"Bici")/60</f>
        <v>0</v>
      </c>
      <c r="M22" s="11">
        <f>SUMIFS('Plan diario'!$W$2:$W$295,'Plan diario'!$D$2:$D$295,$B22,'Plan diario'!$F$2:$F$295,"Running")/60</f>
        <v>0</v>
      </c>
      <c r="N22" s="11">
        <f>SUMIFS('Plan diario'!$W$2:$W$295,'Plan diario'!$D$2:$D$295,$B22,'Plan diario'!$F$2:$F$295,"Fuerza")/60</f>
        <v>0</v>
      </c>
      <c r="O22" s="12">
        <f t="shared" si="0"/>
        <v>0</v>
      </c>
    </row>
    <row r="23" spans="1:15" ht="10.65" customHeight="1" x14ac:dyDescent="0.35">
      <c r="A23" s="8">
        <v>22</v>
      </c>
      <c r="B23" s="10">
        <v>46202</v>
      </c>
      <c r="C23" s="10">
        <v>46208</v>
      </c>
      <c r="D23" s="8" t="s">
        <v>244</v>
      </c>
      <c r="E23" s="11">
        <f>SUMIFS('Plan diario'!$I$2:$I$295,'Plan diario'!$D$2:$D$295,$B23)/60</f>
        <v>14.083333333333334</v>
      </c>
      <c r="F23" s="11">
        <f>SUMIFS('Plan diario'!$I$2:$I$295,'Plan diario'!$D$2:$D$295,$B23,'Plan diario'!$F$2:$F$295,"Natación")/60</f>
        <v>1.5</v>
      </c>
      <c r="G23" s="11">
        <f>SUMIFS('Plan diario'!$I$2:$I$295,'Plan diario'!$D$2:$D$295,$B23,'Plan diario'!$F$2:$F$295,"Bici")/60</f>
        <v>6.416666666666667</v>
      </c>
      <c r="H23" s="11">
        <f>SUMIFS('Plan diario'!$I$2:$I$295,'Plan diario'!$D$2:$D$295,$B23,'Plan diario'!$F$2:$F$295,"Running")/60</f>
        <v>4.833333333333333</v>
      </c>
      <c r="I23" s="11">
        <f>SUMIFS('Plan diario'!$I$2:$I$295,'Plan diario'!$D$2:$D$295,$B23,'Plan diario'!$F$2:$F$295,"Fuerza")/60</f>
        <v>1.3333333333333333</v>
      </c>
      <c r="J23" s="11">
        <f>SUMIFS('Plan diario'!$W$2:$W$295,'Plan diario'!$D$2:$D$295,$B23)/60</f>
        <v>0</v>
      </c>
      <c r="K23" s="11">
        <f>SUMIFS('Plan diario'!$W$2:$W$295,'Plan diario'!$D$2:$D$295,$B23,'Plan diario'!$F$2:$F$295,"Natación")/60</f>
        <v>0</v>
      </c>
      <c r="L23" s="11">
        <f>SUMIFS('Plan diario'!$W$2:$W$295,'Plan diario'!$D$2:$D$295,$B23,'Plan diario'!$F$2:$F$295,"Bici")/60</f>
        <v>0</v>
      </c>
      <c r="M23" s="11">
        <f>SUMIFS('Plan diario'!$W$2:$W$295,'Plan diario'!$D$2:$D$295,$B23,'Plan diario'!$F$2:$F$295,"Running")/60</f>
        <v>0</v>
      </c>
      <c r="N23" s="11">
        <f>SUMIFS('Plan diario'!$W$2:$W$295,'Plan diario'!$D$2:$D$295,$B23,'Plan diario'!$F$2:$F$295,"Fuerza")/60</f>
        <v>0</v>
      </c>
      <c r="O23" s="12">
        <f t="shared" si="0"/>
        <v>0</v>
      </c>
    </row>
    <row r="24" spans="1:15" ht="10.65" customHeight="1" x14ac:dyDescent="0.35">
      <c r="A24" s="8">
        <v>23</v>
      </c>
      <c r="B24" s="10">
        <v>46209</v>
      </c>
      <c r="C24" s="10">
        <v>46215</v>
      </c>
      <c r="D24" s="8" t="s">
        <v>244</v>
      </c>
      <c r="E24" s="11">
        <f>SUMIFS('Plan diario'!$I$2:$I$295,'Plan diario'!$D$2:$D$295,$B24)/60</f>
        <v>11.833333333333334</v>
      </c>
      <c r="F24" s="11">
        <f>SUMIFS('Plan diario'!$I$2:$I$295,'Plan diario'!$D$2:$D$295,$B24,'Plan diario'!$F$2:$F$295,"Natación")/60</f>
        <v>1.5</v>
      </c>
      <c r="G24" s="11">
        <f>SUMIFS('Plan diario'!$I$2:$I$295,'Plan diario'!$D$2:$D$295,$B24,'Plan diario'!$F$2:$F$295,"Bici")/60</f>
        <v>5.416666666666667</v>
      </c>
      <c r="H24" s="11">
        <f>SUMIFS('Plan diario'!$I$2:$I$295,'Plan diario'!$D$2:$D$295,$B24,'Plan diario'!$F$2:$F$295,"Running")/60</f>
        <v>3.5833333333333335</v>
      </c>
      <c r="I24" s="11">
        <f>SUMIFS('Plan diario'!$I$2:$I$295,'Plan diario'!$D$2:$D$295,$B24,'Plan diario'!$F$2:$F$295,"Fuerza")/60</f>
        <v>1.3333333333333333</v>
      </c>
      <c r="J24" s="11">
        <f>SUMIFS('Plan diario'!$W$2:$W$295,'Plan diario'!$D$2:$D$295,$B24)/60</f>
        <v>0</v>
      </c>
      <c r="K24" s="11">
        <f>SUMIFS('Plan diario'!$W$2:$W$295,'Plan diario'!$D$2:$D$295,$B24,'Plan diario'!$F$2:$F$295,"Natación")/60</f>
        <v>0</v>
      </c>
      <c r="L24" s="11">
        <f>SUMIFS('Plan diario'!$W$2:$W$295,'Plan diario'!$D$2:$D$295,$B24,'Plan diario'!$F$2:$F$295,"Bici")/60</f>
        <v>0</v>
      </c>
      <c r="M24" s="11">
        <f>SUMIFS('Plan diario'!$W$2:$W$295,'Plan diario'!$D$2:$D$295,$B24,'Plan diario'!$F$2:$F$295,"Running")/60</f>
        <v>0</v>
      </c>
      <c r="N24" s="11">
        <f>SUMIFS('Plan diario'!$W$2:$W$295,'Plan diario'!$D$2:$D$295,$B24,'Plan diario'!$F$2:$F$295,"Fuerza")/60</f>
        <v>0</v>
      </c>
      <c r="O24" s="12">
        <f t="shared" si="0"/>
        <v>0</v>
      </c>
    </row>
    <row r="25" spans="1:15" ht="10.65" customHeight="1" x14ac:dyDescent="0.35">
      <c r="A25" s="8">
        <v>24</v>
      </c>
      <c r="B25" s="10">
        <v>46216</v>
      </c>
      <c r="C25" s="10">
        <v>46222</v>
      </c>
      <c r="D25" s="8" t="s">
        <v>272</v>
      </c>
      <c r="E25" s="11">
        <f>SUMIFS('Plan diario'!$I$2:$I$295,'Plan diario'!$D$2:$D$295,$B25)/60</f>
        <v>10.5</v>
      </c>
      <c r="F25" s="11">
        <f>SUMIFS('Plan diario'!$I$2:$I$295,'Plan diario'!$D$2:$D$295,$B25,'Plan diario'!$F$2:$F$295,"Natación")/60</f>
        <v>1.3333333333333333</v>
      </c>
      <c r="G25" s="11">
        <f>SUMIFS('Plan diario'!$I$2:$I$295,'Plan diario'!$D$2:$D$295,$B25,'Plan diario'!$F$2:$F$295,"Bici")/60</f>
        <v>4.833333333333333</v>
      </c>
      <c r="H25" s="11">
        <f>SUMIFS('Plan diario'!$I$2:$I$295,'Plan diario'!$D$2:$D$295,$B25,'Plan diario'!$F$2:$F$295,"Running")/60</f>
        <v>3</v>
      </c>
      <c r="I25" s="11">
        <f>SUMIFS('Plan diario'!$I$2:$I$295,'Plan diario'!$D$2:$D$295,$B25,'Plan diario'!$F$2:$F$295,"Fuerza")/60</f>
        <v>1.3333333333333333</v>
      </c>
      <c r="J25" s="11">
        <f>SUMIFS('Plan diario'!$W$2:$W$295,'Plan diario'!$D$2:$D$295,$B25)/60</f>
        <v>0</v>
      </c>
      <c r="K25" s="11">
        <f>SUMIFS('Plan diario'!$W$2:$W$295,'Plan diario'!$D$2:$D$295,$B25,'Plan diario'!$F$2:$F$295,"Natación")/60</f>
        <v>0</v>
      </c>
      <c r="L25" s="11">
        <f>SUMIFS('Plan diario'!$W$2:$W$295,'Plan diario'!$D$2:$D$295,$B25,'Plan diario'!$F$2:$F$295,"Bici")/60</f>
        <v>0</v>
      </c>
      <c r="M25" s="11">
        <f>SUMIFS('Plan diario'!$W$2:$W$295,'Plan diario'!$D$2:$D$295,$B25,'Plan diario'!$F$2:$F$295,"Running")/60</f>
        <v>0</v>
      </c>
      <c r="N25" s="11">
        <f>SUMIFS('Plan diario'!$W$2:$W$295,'Plan diario'!$D$2:$D$295,$B25,'Plan diario'!$F$2:$F$295,"Fuerza")/60</f>
        <v>0</v>
      </c>
      <c r="O25" s="12">
        <f t="shared" si="0"/>
        <v>0</v>
      </c>
    </row>
    <row r="26" spans="1:15" ht="10.65" customHeight="1" x14ac:dyDescent="0.35">
      <c r="A26" s="8">
        <v>25</v>
      </c>
      <c r="B26" s="10">
        <v>46223</v>
      </c>
      <c r="C26" s="10">
        <v>46229</v>
      </c>
      <c r="D26" s="8" t="s">
        <v>278</v>
      </c>
      <c r="E26" s="11">
        <f>SUMIFS('Plan diario'!$I$2:$I$295,'Plan diario'!$D$2:$D$295,$B26)/60</f>
        <v>10.5</v>
      </c>
      <c r="F26" s="11">
        <f>SUMIFS('Plan diario'!$I$2:$I$295,'Plan diario'!$D$2:$D$295,$B26,'Plan diario'!$F$2:$F$295,"Natación")/60</f>
        <v>1.4166666666666667</v>
      </c>
      <c r="G26" s="11">
        <f>SUMIFS('Plan diario'!$I$2:$I$295,'Plan diario'!$D$2:$D$295,$B26,'Plan diario'!$F$2:$F$295,"Bici")/60</f>
        <v>4.666666666666667</v>
      </c>
      <c r="H26" s="11">
        <f>SUMIFS('Plan diario'!$I$2:$I$295,'Plan diario'!$D$2:$D$295,$B26,'Plan diario'!$F$2:$F$295,"Running")/60</f>
        <v>3.0833333333333335</v>
      </c>
      <c r="I26" s="11">
        <f>SUMIFS('Plan diario'!$I$2:$I$295,'Plan diario'!$D$2:$D$295,$B26,'Plan diario'!$F$2:$F$295,"Fuerza")/60</f>
        <v>1.3333333333333333</v>
      </c>
      <c r="J26" s="11">
        <f>SUMIFS('Plan diario'!$W$2:$W$295,'Plan diario'!$D$2:$D$295,$B26)/60</f>
        <v>0</v>
      </c>
      <c r="K26" s="11">
        <f>SUMIFS('Plan diario'!$W$2:$W$295,'Plan diario'!$D$2:$D$295,$B26,'Plan diario'!$F$2:$F$295,"Natación")/60</f>
        <v>0</v>
      </c>
      <c r="L26" s="11">
        <f>SUMIFS('Plan diario'!$W$2:$W$295,'Plan diario'!$D$2:$D$295,$B26,'Plan diario'!$F$2:$F$295,"Bici")/60</f>
        <v>0</v>
      </c>
      <c r="M26" s="11">
        <f>SUMIFS('Plan diario'!$W$2:$W$295,'Plan diario'!$D$2:$D$295,$B26,'Plan diario'!$F$2:$F$295,"Running")/60</f>
        <v>0</v>
      </c>
      <c r="N26" s="11">
        <f>SUMIFS('Plan diario'!$W$2:$W$295,'Plan diario'!$D$2:$D$295,$B26,'Plan diario'!$F$2:$F$295,"Fuerza")/60</f>
        <v>0</v>
      </c>
      <c r="O26" s="12">
        <f t="shared" si="0"/>
        <v>0</v>
      </c>
    </row>
    <row r="27" spans="1:15" ht="10.65" customHeight="1" x14ac:dyDescent="0.35">
      <c r="A27" s="8">
        <v>26</v>
      </c>
      <c r="B27" s="10">
        <v>46230</v>
      </c>
      <c r="C27" s="10">
        <v>46236</v>
      </c>
      <c r="D27" s="8" t="s">
        <v>292</v>
      </c>
      <c r="E27" s="11">
        <f>SUMIFS('Plan diario'!$I$2:$I$295,'Plan diario'!$D$2:$D$295,$B27)/60</f>
        <v>8.0833333333333339</v>
      </c>
      <c r="F27" s="11">
        <f>SUMIFS('Plan diario'!$I$2:$I$295,'Plan diario'!$D$2:$D$295,$B27,'Plan diario'!$F$2:$F$295,"Natación")/60</f>
        <v>1.1666666666666667</v>
      </c>
      <c r="G27" s="11">
        <f>SUMIFS('Plan diario'!$I$2:$I$295,'Plan diario'!$D$2:$D$295,$B27,'Plan diario'!$F$2:$F$295,"Bici")/60</f>
        <v>3.3333333333333335</v>
      </c>
      <c r="H27" s="11">
        <f>SUMIFS('Plan diario'!$I$2:$I$295,'Plan diario'!$D$2:$D$295,$B27,'Plan diario'!$F$2:$F$295,"Running")/60</f>
        <v>2.25</v>
      </c>
      <c r="I27" s="11">
        <f>SUMIFS('Plan diario'!$I$2:$I$295,'Plan diario'!$D$2:$D$295,$B27,'Plan diario'!$F$2:$F$295,"Fuerza")/60</f>
        <v>1.3333333333333333</v>
      </c>
      <c r="J27" s="11">
        <f>SUMIFS('Plan diario'!$W$2:$W$295,'Plan diario'!$D$2:$D$295,$B27)/60</f>
        <v>0</v>
      </c>
      <c r="K27" s="11">
        <f>SUMIFS('Plan diario'!$W$2:$W$295,'Plan diario'!$D$2:$D$295,$B27,'Plan diario'!$F$2:$F$295,"Natación")/60</f>
        <v>0</v>
      </c>
      <c r="L27" s="11">
        <f>SUMIFS('Plan diario'!$W$2:$W$295,'Plan diario'!$D$2:$D$295,$B27,'Plan diario'!$F$2:$F$295,"Bici")/60</f>
        <v>0</v>
      </c>
      <c r="M27" s="11">
        <f>SUMIFS('Plan diario'!$W$2:$W$295,'Plan diario'!$D$2:$D$295,$B27,'Plan diario'!$F$2:$F$295,"Running")/60</f>
        <v>0</v>
      </c>
      <c r="N27" s="11">
        <f>SUMIFS('Plan diario'!$W$2:$W$295,'Plan diario'!$D$2:$D$295,$B27,'Plan diario'!$F$2:$F$295,"Fuerza")/60</f>
        <v>0</v>
      </c>
      <c r="O27" s="12">
        <f t="shared" si="0"/>
        <v>0</v>
      </c>
    </row>
    <row r="28" spans="1:15" ht="10.65" customHeight="1" x14ac:dyDescent="0.35">
      <c r="A28" s="8">
        <v>27</v>
      </c>
      <c r="B28" s="10">
        <v>46237</v>
      </c>
      <c r="C28" s="10">
        <v>46243</v>
      </c>
      <c r="D28" s="8" t="s">
        <v>299</v>
      </c>
      <c r="E28" s="11">
        <f>SUMIFS('Plan diario'!$I$2:$I$295,'Plan diario'!$D$2:$D$295,$B28)/60</f>
        <v>9.0833333333333339</v>
      </c>
      <c r="F28" s="11">
        <f>SUMIFS('Plan diario'!$I$2:$I$295,'Plan diario'!$D$2:$D$295,$B28,'Plan diario'!$F$2:$F$295,"Natación")/60</f>
        <v>1</v>
      </c>
      <c r="G28" s="11">
        <f>SUMIFS('Plan diario'!$I$2:$I$295,'Plan diario'!$D$2:$D$295,$B28,'Plan diario'!$F$2:$F$295,"Bici")/60</f>
        <v>1.0833333333333333</v>
      </c>
      <c r="H28" s="11">
        <f>SUMIFS('Plan diario'!$I$2:$I$295,'Plan diario'!$D$2:$D$295,$B28,'Plan diario'!$F$2:$F$295,"Running")/60</f>
        <v>1.1666666666666667</v>
      </c>
      <c r="I28" s="11">
        <f>SUMIFS('Plan diario'!$I$2:$I$295,'Plan diario'!$D$2:$D$295,$B28,'Plan diario'!$F$2:$F$295,"Fuerza")/60</f>
        <v>0</v>
      </c>
      <c r="J28" s="11">
        <f>SUMIFS('Plan diario'!$W$2:$W$295,'Plan diario'!$D$2:$D$295,$B28)/60</f>
        <v>0</v>
      </c>
      <c r="K28" s="11">
        <f>SUMIFS('Plan diario'!$W$2:$W$295,'Plan diario'!$D$2:$D$295,$B28,'Plan diario'!$F$2:$F$295,"Natación")/60</f>
        <v>0</v>
      </c>
      <c r="L28" s="11">
        <f>SUMIFS('Plan diario'!$W$2:$W$295,'Plan diario'!$D$2:$D$295,$B28,'Plan diario'!$F$2:$F$295,"Bici")/60</f>
        <v>0</v>
      </c>
      <c r="M28" s="11">
        <f>SUMIFS('Plan diario'!$W$2:$W$295,'Plan diario'!$D$2:$D$295,$B28,'Plan diario'!$F$2:$F$295,"Running")/60</f>
        <v>0</v>
      </c>
      <c r="N28" s="11">
        <f>SUMIFS('Plan diario'!$W$2:$W$295,'Plan diario'!$D$2:$D$295,$B28,'Plan diario'!$F$2:$F$295,"Fuerza")/60</f>
        <v>0</v>
      </c>
      <c r="O28" s="1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7265625" defaultRowHeight="14.5" x14ac:dyDescent="0.35"/>
  <cols>
    <col min="1" max="1" width="12" customWidth="1"/>
    <col min="2" max="2" width="18" customWidth="1"/>
    <col min="3" max="3" width="14" customWidth="1"/>
    <col min="4" max="4" width="10" customWidth="1"/>
    <col min="5" max="5" width="60" customWidth="1"/>
  </cols>
  <sheetData>
    <row r="1" spans="1:5" x14ac:dyDescent="0.35">
      <c r="A1" s="13" t="s">
        <v>10</v>
      </c>
      <c r="B1" s="13" t="s">
        <v>331</v>
      </c>
      <c r="C1" s="13" t="s">
        <v>332</v>
      </c>
      <c r="D1" s="13" t="s">
        <v>19</v>
      </c>
      <c r="E1" s="13" t="s">
        <v>333</v>
      </c>
    </row>
    <row r="2" spans="1:5" x14ac:dyDescent="0.35">
      <c r="A2" s="10">
        <v>46054</v>
      </c>
      <c r="B2" s="8" t="s">
        <v>334</v>
      </c>
      <c r="C2" s="14">
        <v>1.7037037037037042E-2</v>
      </c>
      <c r="D2" s="8" t="s">
        <v>335</v>
      </c>
      <c r="E2" s="8" t="s">
        <v>336</v>
      </c>
    </row>
    <row r="3" spans="1:5" x14ac:dyDescent="0.35">
      <c r="A3" s="10">
        <v>46054</v>
      </c>
      <c r="B3" s="8" t="s">
        <v>337</v>
      </c>
      <c r="C3" s="14">
        <v>3.7037037037037028E-2</v>
      </c>
      <c r="D3" s="8" t="s">
        <v>335</v>
      </c>
      <c r="E3" s="8" t="s">
        <v>336</v>
      </c>
    </row>
    <row r="4" spans="1:5" x14ac:dyDescent="0.35">
      <c r="A4" s="10">
        <v>46054</v>
      </c>
      <c r="B4" s="8" t="s">
        <v>338</v>
      </c>
      <c r="C4" s="14">
        <v>8.8888888888888892E-2</v>
      </c>
      <c r="D4" s="8" t="s">
        <v>335</v>
      </c>
      <c r="E4" s="8" t="s">
        <v>336</v>
      </c>
    </row>
    <row r="5" spans="1:5" x14ac:dyDescent="0.35">
      <c r="A5" s="10">
        <v>46054</v>
      </c>
      <c r="B5" s="8" t="s">
        <v>339</v>
      </c>
      <c r="C5" s="8">
        <v>205</v>
      </c>
      <c r="D5" s="8" t="s">
        <v>340</v>
      </c>
      <c r="E5" s="8" t="s">
        <v>341</v>
      </c>
    </row>
    <row r="6" spans="1:5" x14ac:dyDescent="0.35">
      <c r="A6" s="10">
        <v>46054</v>
      </c>
      <c r="B6" s="8" t="s">
        <v>342</v>
      </c>
      <c r="C6" s="14">
        <v>1.369212962962963E-2</v>
      </c>
      <c r="D6" s="8" t="s">
        <v>335</v>
      </c>
      <c r="E6" s="8" t="s">
        <v>343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7265625" defaultRowHeight="14.5" x14ac:dyDescent="0.35"/>
  <cols>
    <col min="1" max="1" width="24" customWidth="1"/>
    <col min="2" max="2" width="60" customWidth="1"/>
    <col min="3" max="5" width="24" customWidth="1"/>
  </cols>
  <sheetData>
    <row r="1" spans="1:5" ht="18.5" x14ac:dyDescent="0.45">
      <c r="A1" s="15" t="s">
        <v>344</v>
      </c>
    </row>
    <row r="3" spans="1:5" x14ac:dyDescent="0.35">
      <c r="A3" t="s">
        <v>345</v>
      </c>
      <c r="B3">
        <v>205</v>
      </c>
    </row>
    <row r="4" spans="1:5" x14ac:dyDescent="0.35">
      <c r="A4" t="s">
        <v>315</v>
      </c>
      <c r="B4" t="s">
        <v>346</v>
      </c>
      <c r="C4" t="s">
        <v>347</v>
      </c>
    </row>
    <row r="5" spans="1:5" x14ac:dyDescent="0.35">
      <c r="A5" t="s">
        <v>42</v>
      </c>
      <c r="B5" t="s">
        <v>348</v>
      </c>
      <c r="C5" t="s">
        <v>349</v>
      </c>
    </row>
    <row r="6" spans="1:5" x14ac:dyDescent="0.35">
      <c r="A6" t="s">
        <v>113</v>
      </c>
      <c r="B6" t="s">
        <v>350</v>
      </c>
      <c r="C6" t="s">
        <v>351</v>
      </c>
    </row>
    <row r="7" spans="1:5" x14ac:dyDescent="0.35">
      <c r="A7" t="s">
        <v>352</v>
      </c>
      <c r="B7" t="s">
        <v>353</v>
      </c>
      <c r="C7" t="s">
        <v>354</v>
      </c>
    </row>
    <row r="9" spans="1:5" x14ac:dyDescent="0.35">
      <c r="A9" t="s">
        <v>355</v>
      </c>
      <c r="B9" s="48" t="s">
        <v>356</v>
      </c>
      <c r="C9" s="47"/>
      <c r="D9" s="47"/>
      <c r="E9" s="47"/>
    </row>
    <row r="10" spans="1:5" x14ac:dyDescent="0.35">
      <c r="B10" s="47"/>
      <c r="C10" s="47"/>
      <c r="D10" s="47"/>
      <c r="E10" s="47"/>
    </row>
    <row r="12" spans="1:5" x14ac:dyDescent="0.35">
      <c r="A12" t="s">
        <v>357</v>
      </c>
      <c r="B12" s="48" t="s">
        <v>358</v>
      </c>
      <c r="C12" s="47"/>
      <c r="D12" s="47"/>
      <c r="E12" s="47"/>
    </row>
    <row r="13" spans="1:5" x14ac:dyDescent="0.35">
      <c r="B13" s="47"/>
      <c r="C13" s="47"/>
      <c r="D13" s="47"/>
      <c r="E13" s="47"/>
    </row>
  </sheetData>
  <mergeCells count="2">
    <mergeCell ref="B12:E13"/>
    <mergeCell ref="B9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5"/>
  <sheetViews>
    <sheetView tabSelected="1" workbookViewId="0">
      <selection activeCell="E9" sqref="E9"/>
    </sheetView>
  </sheetViews>
  <sheetFormatPr baseColWidth="10" defaultColWidth="8.7265625" defaultRowHeight="14.5" x14ac:dyDescent="0.35"/>
  <cols>
    <col min="1" max="1" width="12" customWidth="1"/>
    <col min="2" max="2" width="11" customWidth="1"/>
    <col min="3" max="3" width="10" customWidth="1"/>
    <col min="4" max="4" width="24" customWidth="1"/>
    <col min="5" max="5" width="12" customWidth="1"/>
    <col min="6" max="6" width="28" customWidth="1"/>
    <col min="7" max="8" width="8" customWidth="1"/>
    <col min="9" max="9" width="18" customWidth="1"/>
    <col min="10" max="10" width="20" customWidth="1"/>
    <col min="11" max="11" width="50" customWidth="1"/>
    <col min="12" max="12" width="42" customWidth="1"/>
    <col min="13" max="13" width="36" customWidth="1"/>
    <col min="14" max="15" width="12" customWidth="1"/>
    <col min="16" max="16" width="30" customWidth="1"/>
  </cols>
  <sheetData>
    <row r="1" spans="1:16" ht="18.649999999999999" customHeight="1" x14ac:dyDescent="0.35">
      <c r="A1" s="49" t="s">
        <v>384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24" customHeight="1" x14ac:dyDescent="0.35">
      <c r="A2" s="50" t="s">
        <v>385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4" spans="1:16" ht="20" customHeight="1" x14ac:dyDescent="0.35">
      <c r="A4" s="16" t="s">
        <v>10</v>
      </c>
      <c r="B4" s="16" t="s">
        <v>11</v>
      </c>
      <c r="C4" s="16" t="s">
        <v>386</v>
      </c>
      <c r="D4" s="16" t="s">
        <v>13</v>
      </c>
      <c r="E4" s="16" t="s">
        <v>14</v>
      </c>
      <c r="F4" s="16" t="s">
        <v>15</v>
      </c>
      <c r="G4" s="16" t="s">
        <v>387</v>
      </c>
      <c r="H4" s="16" t="s">
        <v>388</v>
      </c>
      <c r="I4" s="16" t="s">
        <v>389</v>
      </c>
      <c r="J4" s="16" t="s">
        <v>390</v>
      </c>
      <c r="K4" s="16" t="s">
        <v>391</v>
      </c>
      <c r="L4" s="16" t="s">
        <v>392</v>
      </c>
      <c r="M4" s="16" t="s">
        <v>16</v>
      </c>
      <c r="N4" s="16" t="s">
        <v>22</v>
      </c>
      <c r="O4" s="16" t="s">
        <v>393</v>
      </c>
      <c r="P4" s="16" t="s">
        <v>333</v>
      </c>
    </row>
    <row r="5" spans="1:16" ht="32" customHeight="1" x14ac:dyDescent="0.35">
      <c r="A5" s="25">
        <v>46142</v>
      </c>
      <c r="B5" s="17" t="s">
        <v>62</v>
      </c>
      <c r="C5" s="17">
        <v>0</v>
      </c>
      <c r="D5" s="17" t="s">
        <v>394</v>
      </c>
      <c r="E5" s="17" t="s">
        <v>53</v>
      </c>
      <c r="F5" s="17" t="s">
        <v>395</v>
      </c>
      <c r="G5" s="28">
        <v>45</v>
      </c>
      <c r="H5" s="28">
        <f t="shared" ref="H5:H36" si="0">G5/60</f>
        <v>0.75</v>
      </c>
      <c r="I5" s="17" t="s">
        <v>396</v>
      </c>
      <c r="J5" s="17" t="s">
        <v>397</v>
      </c>
      <c r="K5" s="17" t="s">
        <v>398</v>
      </c>
      <c r="L5" s="17" t="s">
        <v>399</v>
      </c>
      <c r="M5" s="17" t="s">
        <v>400</v>
      </c>
      <c r="N5" s="17" t="s">
        <v>401</v>
      </c>
      <c r="O5" s="17"/>
      <c r="P5" s="18"/>
    </row>
    <row r="6" spans="1:16" ht="32" customHeight="1" x14ac:dyDescent="0.35">
      <c r="A6" s="26">
        <v>46142</v>
      </c>
      <c r="B6" s="20" t="s">
        <v>62</v>
      </c>
      <c r="C6" s="20">
        <v>0</v>
      </c>
      <c r="D6" s="20" t="s">
        <v>394</v>
      </c>
      <c r="E6" s="20" t="s">
        <v>301</v>
      </c>
      <c r="F6" s="20" t="s">
        <v>402</v>
      </c>
      <c r="G6" s="29">
        <v>15</v>
      </c>
      <c r="H6" s="29">
        <f t="shared" si="0"/>
        <v>0.25</v>
      </c>
      <c r="I6" s="20" t="s">
        <v>396</v>
      </c>
      <c r="J6" s="20" t="s">
        <v>403</v>
      </c>
      <c r="K6" s="20" t="s">
        <v>404</v>
      </c>
      <c r="L6" s="20" t="s">
        <v>405</v>
      </c>
      <c r="M6" s="20" t="s">
        <v>406</v>
      </c>
      <c r="N6" s="20" t="s">
        <v>401</v>
      </c>
      <c r="O6" s="20"/>
      <c r="P6" s="21"/>
    </row>
    <row r="7" spans="1:16" ht="32" customHeight="1" x14ac:dyDescent="0.35">
      <c r="A7" s="26">
        <v>46143</v>
      </c>
      <c r="B7" s="20" t="s">
        <v>66</v>
      </c>
      <c r="C7" s="20">
        <v>0</v>
      </c>
      <c r="D7" s="20" t="s">
        <v>394</v>
      </c>
      <c r="E7" s="20" t="s">
        <v>46</v>
      </c>
      <c r="F7" s="20" t="s">
        <v>407</v>
      </c>
      <c r="G7" s="29">
        <v>45</v>
      </c>
      <c r="H7" s="29">
        <f t="shared" si="0"/>
        <v>0.75</v>
      </c>
      <c r="I7" s="20" t="s">
        <v>408</v>
      </c>
      <c r="J7" s="20" t="s">
        <v>95</v>
      </c>
      <c r="K7" s="20" t="s">
        <v>409</v>
      </c>
      <c r="L7" s="20" t="s">
        <v>410</v>
      </c>
      <c r="M7" s="20" t="s">
        <v>411</v>
      </c>
      <c r="N7" s="20" t="s">
        <v>401</v>
      </c>
      <c r="O7" s="20"/>
      <c r="P7" s="21"/>
    </row>
    <row r="8" spans="1:16" ht="32" customHeight="1" x14ac:dyDescent="0.35">
      <c r="A8" s="26">
        <v>46143</v>
      </c>
      <c r="B8" s="20" t="s">
        <v>66</v>
      </c>
      <c r="C8" s="20">
        <v>0</v>
      </c>
      <c r="D8" s="20" t="s">
        <v>394</v>
      </c>
      <c r="E8" s="20" t="s">
        <v>34</v>
      </c>
      <c r="F8" s="20" t="s">
        <v>412</v>
      </c>
      <c r="G8" s="29">
        <v>20</v>
      </c>
      <c r="H8" s="29">
        <f t="shared" si="0"/>
        <v>0.33333333333333331</v>
      </c>
      <c r="I8" s="20" t="s">
        <v>396</v>
      </c>
      <c r="J8" s="20" t="s">
        <v>413</v>
      </c>
      <c r="K8" s="20" t="s">
        <v>414</v>
      </c>
      <c r="L8" s="20" t="s">
        <v>415</v>
      </c>
      <c r="M8" s="20" t="s">
        <v>416</v>
      </c>
      <c r="N8" s="20" t="s">
        <v>401</v>
      </c>
      <c r="O8" s="20"/>
      <c r="P8" s="21"/>
    </row>
    <row r="9" spans="1:16" ht="32" customHeight="1" x14ac:dyDescent="0.35">
      <c r="A9" s="26">
        <v>46144</v>
      </c>
      <c r="B9" s="20" t="s">
        <v>73</v>
      </c>
      <c r="C9" s="20">
        <v>0</v>
      </c>
      <c r="D9" s="20" t="s">
        <v>394</v>
      </c>
      <c r="E9" s="20" t="s">
        <v>39</v>
      </c>
      <c r="F9" s="20" t="s">
        <v>417</v>
      </c>
      <c r="G9" s="29">
        <v>50</v>
      </c>
      <c r="H9" s="29">
        <f t="shared" si="0"/>
        <v>0.83333333333333337</v>
      </c>
      <c r="I9" s="20" t="s">
        <v>418</v>
      </c>
      <c r="J9" s="20" t="s">
        <v>419</v>
      </c>
      <c r="K9" s="20" t="s">
        <v>420</v>
      </c>
      <c r="L9" s="20" t="s">
        <v>421</v>
      </c>
      <c r="M9" s="20" t="s">
        <v>422</v>
      </c>
      <c r="N9" s="20" t="s">
        <v>401</v>
      </c>
      <c r="O9" s="20"/>
      <c r="P9" s="21"/>
    </row>
    <row r="10" spans="1:16" ht="32" customHeight="1" x14ac:dyDescent="0.35">
      <c r="A10" s="26">
        <v>46145</v>
      </c>
      <c r="B10" s="20" t="s">
        <v>77</v>
      </c>
      <c r="C10" s="20">
        <v>0</v>
      </c>
      <c r="D10" s="20" t="s">
        <v>394</v>
      </c>
      <c r="E10" s="20" t="s">
        <v>53</v>
      </c>
      <c r="F10" s="20" t="s">
        <v>423</v>
      </c>
      <c r="G10" s="29">
        <v>90</v>
      </c>
      <c r="H10" s="29">
        <f t="shared" si="0"/>
        <v>1.5</v>
      </c>
      <c r="I10" s="20" t="s">
        <v>424</v>
      </c>
      <c r="J10" s="20" t="s">
        <v>425</v>
      </c>
      <c r="K10" s="20" t="s">
        <v>426</v>
      </c>
      <c r="L10" s="20" t="s">
        <v>427</v>
      </c>
      <c r="M10" s="20" t="s">
        <v>428</v>
      </c>
      <c r="N10" s="20" t="s">
        <v>401</v>
      </c>
      <c r="O10" s="20"/>
      <c r="P10" s="21"/>
    </row>
    <row r="11" spans="1:16" ht="32" customHeight="1" x14ac:dyDescent="0.35">
      <c r="A11" s="26">
        <v>46145</v>
      </c>
      <c r="B11" s="20" t="s">
        <v>77</v>
      </c>
      <c r="C11" s="20">
        <v>0</v>
      </c>
      <c r="D11" s="20" t="s">
        <v>394</v>
      </c>
      <c r="E11" s="20" t="s">
        <v>39</v>
      </c>
      <c r="F11" s="20" t="s">
        <v>429</v>
      </c>
      <c r="G11" s="29">
        <v>15</v>
      </c>
      <c r="H11" s="29">
        <f t="shared" si="0"/>
        <v>0.25</v>
      </c>
      <c r="I11" s="20" t="s">
        <v>430</v>
      </c>
      <c r="J11" s="20" t="s">
        <v>95</v>
      </c>
      <c r="K11" s="20" t="s">
        <v>431</v>
      </c>
      <c r="L11" s="20" t="s">
        <v>432</v>
      </c>
      <c r="M11" s="20" t="s">
        <v>433</v>
      </c>
      <c r="N11" s="20" t="s">
        <v>401</v>
      </c>
      <c r="O11" s="20"/>
      <c r="P11" s="21"/>
    </row>
    <row r="12" spans="1:16" ht="32" customHeight="1" x14ac:dyDescent="0.35">
      <c r="A12" s="26">
        <v>46146</v>
      </c>
      <c r="B12" s="20" t="s">
        <v>32</v>
      </c>
      <c r="C12" s="20">
        <v>1</v>
      </c>
      <c r="D12" s="20" t="s">
        <v>434</v>
      </c>
      <c r="E12" s="20" t="s">
        <v>301</v>
      </c>
      <c r="F12" s="20" t="s">
        <v>435</v>
      </c>
      <c r="G12" s="29">
        <v>20</v>
      </c>
      <c r="H12" s="29">
        <f t="shared" si="0"/>
        <v>0.33333333333333331</v>
      </c>
      <c r="I12" s="20" t="s">
        <v>396</v>
      </c>
      <c r="J12" s="20" t="s">
        <v>161</v>
      </c>
      <c r="K12" s="20" t="s">
        <v>436</v>
      </c>
      <c r="L12" s="20" t="s">
        <v>437</v>
      </c>
      <c r="M12" s="20" t="s">
        <v>438</v>
      </c>
      <c r="N12" s="20" t="s">
        <v>401</v>
      </c>
      <c r="O12" s="20"/>
      <c r="P12" s="21"/>
    </row>
    <row r="13" spans="1:16" ht="32" customHeight="1" x14ac:dyDescent="0.35">
      <c r="A13" s="26">
        <v>46147</v>
      </c>
      <c r="B13" s="20" t="s">
        <v>45</v>
      </c>
      <c r="C13" s="20">
        <v>1</v>
      </c>
      <c r="D13" s="20" t="s">
        <v>434</v>
      </c>
      <c r="E13" s="20" t="s">
        <v>46</v>
      </c>
      <c r="F13" s="20" t="s">
        <v>439</v>
      </c>
      <c r="G13" s="29">
        <v>50</v>
      </c>
      <c r="H13" s="29">
        <f t="shared" si="0"/>
        <v>0.83333333333333337</v>
      </c>
      <c r="I13" s="20" t="s">
        <v>440</v>
      </c>
      <c r="J13" s="20" t="s">
        <v>441</v>
      </c>
      <c r="K13" s="20" t="s">
        <v>442</v>
      </c>
      <c r="L13" s="20" t="s">
        <v>443</v>
      </c>
      <c r="M13" s="20" t="s">
        <v>444</v>
      </c>
      <c r="N13" s="20" t="s">
        <v>401</v>
      </c>
      <c r="O13" s="20"/>
      <c r="P13" s="21"/>
    </row>
    <row r="14" spans="1:16" ht="32" customHeight="1" x14ac:dyDescent="0.35">
      <c r="A14" s="26">
        <v>46147</v>
      </c>
      <c r="B14" s="20" t="s">
        <v>45</v>
      </c>
      <c r="C14" s="20">
        <v>1</v>
      </c>
      <c r="D14" s="20" t="s">
        <v>434</v>
      </c>
      <c r="E14" s="20" t="s">
        <v>53</v>
      </c>
      <c r="F14" s="20" t="s">
        <v>445</v>
      </c>
      <c r="G14" s="29">
        <v>55</v>
      </c>
      <c r="H14" s="29">
        <f t="shared" si="0"/>
        <v>0.91666666666666663</v>
      </c>
      <c r="I14" s="20" t="s">
        <v>396</v>
      </c>
      <c r="J14" s="20" t="s">
        <v>425</v>
      </c>
      <c r="K14" s="20" t="s">
        <v>446</v>
      </c>
      <c r="L14" s="20" t="s">
        <v>447</v>
      </c>
      <c r="M14" s="20" t="s">
        <v>448</v>
      </c>
      <c r="N14" s="20" t="s">
        <v>401</v>
      </c>
      <c r="O14" s="20"/>
      <c r="P14" s="21"/>
    </row>
    <row r="15" spans="1:16" ht="32" customHeight="1" x14ac:dyDescent="0.35">
      <c r="A15" s="26">
        <v>46148</v>
      </c>
      <c r="B15" s="20" t="s">
        <v>57</v>
      </c>
      <c r="C15" s="20">
        <v>1</v>
      </c>
      <c r="D15" s="20" t="s">
        <v>434</v>
      </c>
      <c r="E15" s="20" t="s">
        <v>39</v>
      </c>
      <c r="F15" s="20" t="s">
        <v>449</v>
      </c>
      <c r="G15" s="29">
        <v>60</v>
      </c>
      <c r="H15" s="29">
        <f t="shared" si="0"/>
        <v>1</v>
      </c>
      <c r="I15" s="20" t="s">
        <v>450</v>
      </c>
      <c r="J15" s="20" t="s">
        <v>290</v>
      </c>
      <c r="K15" s="20" t="s">
        <v>451</v>
      </c>
      <c r="L15" s="20" t="s">
        <v>452</v>
      </c>
      <c r="M15" s="20" t="s">
        <v>453</v>
      </c>
      <c r="N15" s="20" t="s">
        <v>401</v>
      </c>
      <c r="O15" s="20"/>
      <c r="P15" s="21"/>
    </row>
    <row r="16" spans="1:16" ht="32" customHeight="1" x14ac:dyDescent="0.35">
      <c r="A16" s="26">
        <v>46148</v>
      </c>
      <c r="B16" s="20" t="s">
        <v>57</v>
      </c>
      <c r="C16" s="20">
        <v>1</v>
      </c>
      <c r="D16" s="20" t="s">
        <v>434</v>
      </c>
      <c r="E16" s="20" t="s">
        <v>34</v>
      </c>
      <c r="F16" s="20" t="s">
        <v>35</v>
      </c>
      <c r="G16" s="29">
        <v>35</v>
      </c>
      <c r="H16" s="29">
        <f t="shared" si="0"/>
        <v>0.58333333333333337</v>
      </c>
      <c r="I16" s="20" t="s">
        <v>396</v>
      </c>
      <c r="J16" s="20" t="s">
        <v>454</v>
      </c>
      <c r="K16" s="20" t="s">
        <v>455</v>
      </c>
      <c r="L16" s="20" t="s">
        <v>456</v>
      </c>
      <c r="M16" s="20" t="s">
        <v>457</v>
      </c>
      <c r="N16" s="20" t="s">
        <v>401</v>
      </c>
      <c r="O16" s="20"/>
      <c r="P16" s="21"/>
    </row>
    <row r="17" spans="1:16" ht="32" customHeight="1" x14ac:dyDescent="0.35">
      <c r="A17" s="26">
        <v>46149</v>
      </c>
      <c r="B17" s="20" t="s">
        <v>62</v>
      </c>
      <c r="C17" s="20">
        <v>1</v>
      </c>
      <c r="D17" s="20" t="s">
        <v>434</v>
      </c>
      <c r="E17" s="20" t="s">
        <v>53</v>
      </c>
      <c r="F17" s="20" t="s">
        <v>458</v>
      </c>
      <c r="G17" s="29">
        <v>70</v>
      </c>
      <c r="H17" s="29">
        <f t="shared" si="0"/>
        <v>1.1666666666666667</v>
      </c>
      <c r="I17" s="20" t="s">
        <v>396</v>
      </c>
      <c r="J17" s="20" t="s">
        <v>459</v>
      </c>
      <c r="K17" s="20" t="s">
        <v>460</v>
      </c>
      <c r="L17" s="20" t="s">
        <v>461</v>
      </c>
      <c r="M17" s="20" t="s">
        <v>462</v>
      </c>
      <c r="N17" s="20" t="s">
        <v>401</v>
      </c>
      <c r="O17" s="20"/>
      <c r="P17" s="21"/>
    </row>
    <row r="18" spans="1:16" ht="32" customHeight="1" x14ac:dyDescent="0.35">
      <c r="A18" s="26">
        <v>46149</v>
      </c>
      <c r="B18" s="20" t="s">
        <v>62</v>
      </c>
      <c r="C18" s="20">
        <v>1</v>
      </c>
      <c r="D18" s="20" t="s">
        <v>434</v>
      </c>
      <c r="E18" s="20" t="s">
        <v>39</v>
      </c>
      <c r="F18" s="20" t="s">
        <v>463</v>
      </c>
      <c r="G18" s="29">
        <v>15</v>
      </c>
      <c r="H18" s="29">
        <f t="shared" si="0"/>
        <v>0.25</v>
      </c>
      <c r="I18" s="20" t="s">
        <v>464</v>
      </c>
      <c r="J18" s="20" t="s">
        <v>42</v>
      </c>
      <c r="K18" s="20" t="s">
        <v>465</v>
      </c>
      <c r="L18" s="20" t="s">
        <v>432</v>
      </c>
      <c r="M18" s="20" t="s">
        <v>466</v>
      </c>
      <c r="N18" s="20" t="s">
        <v>401</v>
      </c>
      <c r="O18" s="20"/>
      <c r="P18" s="21"/>
    </row>
    <row r="19" spans="1:16" ht="32" customHeight="1" x14ac:dyDescent="0.35">
      <c r="A19" s="26">
        <v>46150</v>
      </c>
      <c r="B19" s="20" t="s">
        <v>66</v>
      </c>
      <c r="C19" s="20">
        <v>1</v>
      </c>
      <c r="D19" s="20" t="s">
        <v>434</v>
      </c>
      <c r="E19" s="20" t="s">
        <v>46</v>
      </c>
      <c r="F19" s="20" t="s">
        <v>467</v>
      </c>
      <c r="G19" s="29">
        <v>45</v>
      </c>
      <c r="H19" s="29">
        <f t="shared" si="0"/>
        <v>0.75</v>
      </c>
      <c r="I19" s="20" t="s">
        <v>468</v>
      </c>
      <c r="J19" s="20" t="s">
        <v>42</v>
      </c>
      <c r="K19" s="20" t="s">
        <v>469</v>
      </c>
      <c r="L19" s="20" t="s">
        <v>470</v>
      </c>
      <c r="M19" s="20" t="s">
        <v>471</v>
      </c>
      <c r="N19" s="20" t="s">
        <v>401</v>
      </c>
      <c r="O19" s="20"/>
      <c r="P19" s="21"/>
    </row>
    <row r="20" spans="1:16" ht="32" customHeight="1" x14ac:dyDescent="0.35">
      <c r="A20" s="26">
        <v>46150</v>
      </c>
      <c r="B20" s="20" t="s">
        <v>66</v>
      </c>
      <c r="C20" s="20">
        <v>1</v>
      </c>
      <c r="D20" s="20" t="s">
        <v>434</v>
      </c>
      <c r="E20" s="20" t="s">
        <v>301</v>
      </c>
      <c r="F20" s="20" t="s">
        <v>472</v>
      </c>
      <c r="G20" s="29">
        <v>10</v>
      </c>
      <c r="H20" s="29">
        <f t="shared" si="0"/>
        <v>0.16666666666666666</v>
      </c>
      <c r="I20" s="20" t="s">
        <v>396</v>
      </c>
      <c r="J20" s="20" t="s">
        <v>403</v>
      </c>
      <c r="K20" s="20" t="s">
        <v>473</v>
      </c>
      <c r="L20" s="20" t="s">
        <v>396</v>
      </c>
      <c r="M20" s="20" t="s">
        <v>474</v>
      </c>
      <c r="N20" s="20" t="s">
        <v>401</v>
      </c>
      <c r="O20" s="20"/>
      <c r="P20" s="21"/>
    </row>
    <row r="21" spans="1:16" ht="32" customHeight="1" x14ac:dyDescent="0.35">
      <c r="A21" s="26">
        <v>46151</v>
      </c>
      <c r="B21" s="20" t="s">
        <v>73</v>
      </c>
      <c r="C21" s="20">
        <v>1</v>
      </c>
      <c r="D21" s="20" t="s">
        <v>434</v>
      </c>
      <c r="E21" s="20" t="s">
        <v>39</v>
      </c>
      <c r="F21" s="20" t="s">
        <v>475</v>
      </c>
      <c r="G21" s="29">
        <v>75</v>
      </c>
      <c r="H21" s="29">
        <f t="shared" si="0"/>
        <v>1.25</v>
      </c>
      <c r="I21" s="20" t="s">
        <v>476</v>
      </c>
      <c r="J21" s="20" t="s">
        <v>42</v>
      </c>
      <c r="K21" s="20" t="s">
        <v>477</v>
      </c>
      <c r="L21" s="20" t="s">
        <v>478</v>
      </c>
      <c r="M21" s="20" t="s">
        <v>479</v>
      </c>
      <c r="N21" s="20" t="s">
        <v>401</v>
      </c>
      <c r="O21" s="20"/>
      <c r="P21" s="21"/>
    </row>
    <row r="22" spans="1:16" ht="32" customHeight="1" x14ac:dyDescent="0.35">
      <c r="A22" s="26">
        <v>46152</v>
      </c>
      <c r="B22" s="20" t="s">
        <v>77</v>
      </c>
      <c r="C22" s="20">
        <v>1</v>
      </c>
      <c r="D22" s="20" t="s">
        <v>434</v>
      </c>
      <c r="E22" s="20" t="s">
        <v>53</v>
      </c>
      <c r="F22" s="20" t="s">
        <v>480</v>
      </c>
      <c r="G22" s="29">
        <v>150</v>
      </c>
      <c r="H22" s="29">
        <f t="shared" si="0"/>
        <v>2.5</v>
      </c>
      <c r="I22" s="20" t="s">
        <v>481</v>
      </c>
      <c r="J22" s="20" t="s">
        <v>482</v>
      </c>
      <c r="K22" s="20" t="s">
        <v>483</v>
      </c>
      <c r="L22" s="20" t="s">
        <v>484</v>
      </c>
      <c r="M22" s="20" t="s">
        <v>485</v>
      </c>
      <c r="N22" s="20" t="s">
        <v>401</v>
      </c>
      <c r="O22" s="20"/>
      <c r="P22" s="21"/>
    </row>
    <row r="23" spans="1:16" ht="32" customHeight="1" x14ac:dyDescent="0.35">
      <c r="A23" s="26">
        <v>46152</v>
      </c>
      <c r="B23" s="20" t="s">
        <v>77</v>
      </c>
      <c r="C23" s="20">
        <v>1</v>
      </c>
      <c r="D23" s="20" t="s">
        <v>434</v>
      </c>
      <c r="E23" s="20" t="s">
        <v>39</v>
      </c>
      <c r="F23" s="20" t="s">
        <v>486</v>
      </c>
      <c r="G23" s="29">
        <v>20</v>
      </c>
      <c r="H23" s="29">
        <f t="shared" si="0"/>
        <v>0.33333333333333331</v>
      </c>
      <c r="I23" s="20" t="s">
        <v>487</v>
      </c>
      <c r="J23" s="20" t="s">
        <v>42</v>
      </c>
      <c r="K23" s="20" t="s">
        <v>488</v>
      </c>
      <c r="L23" s="20" t="s">
        <v>489</v>
      </c>
      <c r="M23" s="20" t="s">
        <v>490</v>
      </c>
      <c r="N23" s="20" t="s">
        <v>401</v>
      </c>
      <c r="O23" s="20"/>
      <c r="P23" s="21"/>
    </row>
    <row r="24" spans="1:16" ht="32" customHeight="1" x14ac:dyDescent="0.35">
      <c r="A24" s="26">
        <v>46153</v>
      </c>
      <c r="B24" s="20" t="s">
        <v>32</v>
      </c>
      <c r="C24" s="20">
        <v>2</v>
      </c>
      <c r="D24" s="20" t="s">
        <v>491</v>
      </c>
      <c r="E24" s="20" t="s">
        <v>301</v>
      </c>
      <c r="F24" s="20" t="s">
        <v>435</v>
      </c>
      <c r="G24" s="29">
        <v>20</v>
      </c>
      <c r="H24" s="29">
        <f t="shared" si="0"/>
        <v>0.33333333333333331</v>
      </c>
      <c r="I24" s="20" t="s">
        <v>396</v>
      </c>
      <c r="J24" s="20" t="s">
        <v>161</v>
      </c>
      <c r="K24" s="20" t="s">
        <v>492</v>
      </c>
      <c r="L24" s="20" t="s">
        <v>493</v>
      </c>
      <c r="M24" s="20" t="s">
        <v>494</v>
      </c>
      <c r="N24" s="20" t="s">
        <v>401</v>
      </c>
      <c r="O24" s="20"/>
      <c r="P24" s="21"/>
    </row>
    <row r="25" spans="1:16" ht="32" customHeight="1" x14ac:dyDescent="0.35">
      <c r="A25" s="26">
        <v>46154</v>
      </c>
      <c r="B25" s="20" t="s">
        <v>45</v>
      </c>
      <c r="C25" s="20">
        <v>2</v>
      </c>
      <c r="D25" s="20" t="s">
        <v>491</v>
      </c>
      <c r="E25" s="20" t="s">
        <v>46</v>
      </c>
      <c r="F25" s="20" t="s">
        <v>495</v>
      </c>
      <c r="G25" s="29">
        <v>55</v>
      </c>
      <c r="H25" s="29">
        <f t="shared" si="0"/>
        <v>0.91666666666666663</v>
      </c>
      <c r="I25" s="20" t="s">
        <v>496</v>
      </c>
      <c r="J25" s="20" t="s">
        <v>497</v>
      </c>
      <c r="K25" s="20" t="s">
        <v>498</v>
      </c>
      <c r="L25" s="20" t="s">
        <v>499</v>
      </c>
      <c r="M25" s="20" t="s">
        <v>500</v>
      </c>
      <c r="N25" s="20" t="s">
        <v>401</v>
      </c>
      <c r="O25" s="20"/>
      <c r="P25" s="21"/>
    </row>
    <row r="26" spans="1:16" ht="32" customHeight="1" x14ac:dyDescent="0.35">
      <c r="A26" s="26">
        <v>46154</v>
      </c>
      <c r="B26" s="20" t="s">
        <v>45</v>
      </c>
      <c r="C26" s="20">
        <v>2</v>
      </c>
      <c r="D26" s="20" t="s">
        <v>491</v>
      </c>
      <c r="E26" s="20" t="s">
        <v>53</v>
      </c>
      <c r="F26" s="20" t="s">
        <v>445</v>
      </c>
      <c r="G26" s="29">
        <v>55</v>
      </c>
      <c r="H26" s="29">
        <f t="shared" si="0"/>
        <v>0.91666666666666663</v>
      </c>
      <c r="I26" s="20" t="s">
        <v>396</v>
      </c>
      <c r="J26" s="20" t="s">
        <v>425</v>
      </c>
      <c r="K26" s="20" t="s">
        <v>501</v>
      </c>
      <c r="L26" s="20" t="s">
        <v>502</v>
      </c>
      <c r="M26" s="20" t="s">
        <v>503</v>
      </c>
      <c r="N26" s="20" t="s">
        <v>401</v>
      </c>
      <c r="O26" s="20"/>
      <c r="P26" s="21"/>
    </row>
    <row r="27" spans="1:16" ht="32" customHeight="1" x14ac:dyDescent="0.35">
      <c r="A27" s="26">
        <v>46155</v>
      </c>
      <c r="B27" s="20" t="s">
        <v>57</v>
      </c>
      <c r="C27" s="20">
        <v>2</v>
      </c>
      <c r="D27" s="20" t="s">
        <v>491</v>
      </c>
      <c r="E27" s="20" t="s">
        <v>39</v>
      </c>
      <c r="F27" s="20" t="s">
        <v>504</v>
      </c>
      <c r="G27" s="29">
        <v>65</v>
      </c>
      <c r="H27" s="29">
        <f t="shared" si="0"/>
        <v>1.0833333333333333</v>
      </c>
      <c r="I27" s="20" t="s">
        <v>505</v>
      </c>
      <c r="J27" s="20" t="s">
        <v>290</v>
      </c>
      <c r="K27" s="20" t="s">
        <v>506</v>
      </c>
      <c r="L27" s="20" t="s">
        <v>507</v>
      </c>
      <c r="M27" s="20" t="s">
        <v>508</v>
      </c>
      <c r="N27" s="20" t="s">
        <v>401</v>
      </c>
      <c r="O27" s="20"/>
      <c r="P27" s="21"/>
    </row>
    <row r="28" spans="1:16" ht="32" customHeight="1" x14ac:dyDescent="0.35">
      <c r="A28" s="26">
        <v>46155</v>
      </c>
      <c r="B28" s="20" t="s">
        <v>57</v>
      </c>
      <c r="C28" s="20">
        <v>2</v>
      </c>
      <c r="D28" s="20" t="s">
        <v>491</v>
      </c>
      <c r="E28" s="20" t="s">
        <v>34</v>
      </c>
      <c r="F28" s="20" t="s">
        <v>509</v>
      </c>
      <c r="G28" s="29">
        <v>35</v>
      </c>
      <c r="H28" s="29">
        <f t="shared" si="0"/>
        <v>0.58333333333333337</v>
      </c>
      <c r="I28" s="20" t="s">
        <v>396</v>
      </c>
      <c r="J28" s="20" t="s">
        <v>454</v>
      </c>
      <c r="K28" s="20" t="s">
        <v>510</v>
      </c>
      <c r="L28" s="20" t="s">
        <v>511</v>
      </c>
      <c r="M28" s="20" t="s">
        <v>512</v>
      </c>
      <c r="N28" s="20" t="s">
        <v>401</v>
      </c>
      <c r="O28" s="20"/>
      <c r="P28" s="21"/>
    </row>
    <row r="29" spans="1:16" ht="32" customHeight="1" x14ac:dyDescent="0.35">
      <c r="A29" s="26">
        <v>46156</v>
      </c>
      <c r="B29" s="20" t="s">
        <v>62</v>
      </c>
      <c r="C29" s="20">
        <v>2</v>
      </c>
      <c r="D29" s="20" t="s">
        <v>491</v>
      </c>
      <c r="E29" s="20" t="s">
        <v>53</v>
      </c>
      <c r="F29" s="20" t="s">
        <v>513</v>
      </c>
      <c r="G29" s="29">
        <v>75</v>
      </c>
      <c r="H29" s="29">
        <f t="shared" si="0"/>
        <v>1.25</v>
      </c>
      <c r="I29" s="20" t="s">
        <v>396</v>
      </c>
      <c r="J29" s="20" t="s">
        <v>514</v>
      </c>
      <c r="K29" s="20" t="s">
        <v>515</v>
      </c>
      <c r="L29" s="20" t="s">
        <v>516</v>
      </c>
      <c r="M29" s="20" t="s">
        <v>517</v>
      </c>
      <c r="N29" s="20" t="s">
        <v>401</v>
      </c>
      <c r="O29" s="20"/>
      <c r="P29" s="21"/>
    </row>
    <row r="30" spans="1:16" ht="32" customHeight="1" x14ac:dyDescent="0.35">
      <c r="A30" s="26">
        <v>46156</v>
      </c>
      <c r="B30" s="20" t="s">
        <v>62</v>
      </c>
      <c r="C30" s="20">
        <v>2</v>
      </c>
      <c r="D30" s="20" t="s">
        <v>491</v>
      </c>
      <c r="E30" s="20" t="s">
        <v>39</v>
      </c>
      <c r="F30" s="20" t="s">
        <v>518</v>
      </c>
      <c r="G30" s="29">
        <v>20</v>
      </c>
      <c r="H30" s="29">
        <f t="shared" si="0"/>
        <v>0.33333333333333331</v>
      </c>
      <c r="I30" s="20" t="s">
        <v>519</v>
      </c>
      <c r="J30" s="20" t="s">
        <v>42</v>
      </c>
      <c r="K30" s="20" t="s">
        <v>520</v>
      </c>
      <c r="L30" s="20" t="s">
        <v>521</v>
      </c>
      <c r="M30" s="20" t="s">
        <v>522</v>
      </c>
      <c r="N30" s="20" t="s">
        <v>401</v>
      </c>
      <c r="O30" s="20"/>
      <c r="P30" s="21"/>
    </row>
    <row r="31" spans="1:16" ht="32" customHeight="1" x14ac:dyDescent="0.35">
      <c r="A31" s="26">
        <v>46157</v>
      </c>
      <c r="B31" s="20" t="s">
        <v>66</v>
      </c>
      <c r="C31" s="20">
        <v>2</v>
      </c>
      <c r="D31" s="20" t="s">
        <v>491</v>
      </c>
      <c r="E31" s="20" t="s">
        <v>46</v>
      </c>
      <c r="F31" s="20" t="s">
        <v>523</v>
      </c>
      <c r="G31" s="29">
        <v>50</v>
      </c>
      <c r="H31" s="29">
        <f t="shared" si="0"/>
        <v>0.83333333333333337</v>
      </c>
      <c r="I31" s="20" t="s">
        <v>524</v>
      </c>
      <c r="J31" s="20" t="s">
        <v>42</v>
      </c>
      <c r="K31" s="20" t="s">
        <v>525</v>
      </c>
      <c r="L31" s="20" t="s">
        <v>470</v>
      </c>
      <c r="M31" s="20" t="s">
        <v>526</v>
      </c>
      <c r="N31" s="20" t="s">
        <v>401</v>
      </c>
      <c r="O31" s="20"/>
      <c r="P31" s="21"/>
    </row>
    <row r="32" spans="1:16" ht="32" customHeight="1" x14ac:dyDescent="0.35">
      <c r="A32" s="26">
        <v>46158</v>
      </c>
      <c r="B32" s="20" t="s">
        <v>73</v>
      </c>
      <c r="C32" s="20">
        <v>2</v>
      </c>
      <c r="D32" s="20" t="s">
        <v>491</v>
      </c>
      <c r="E32" s="20" t="s">
        <v>39</v>
      </c>
      <c r="F32" s="20" t="s">
        <v>527</v>
      </c>
      <c r="G32" s="29">
        <v>80</v>
      </c>
      <c r="H32" s="29">
        <f t="shared" si="0"/>
        <v>1.3333333333333333</v>
      </c>
      <c r="I32" s="20" t="s">
        <v>528</v>
      </c>
      <c r="J32" s="20" t="s">
        <v>42</v>
      </c>
      <c r="K32" s="20" t="s">
        <v>529</v>
      </c>
      <c r="L32" s="20" t="s">
        <v>530</v>
      </c>
      <c r="M32" s="20" t="s">
        <v>531</v>
      </c>
      <c r="N32" s="20" t="s">
        <v>401</v>
      </c>
      <c r="O32" s="20"/>
      <c r="P32" s="21"/>
    </row>
    <row r="33" spans="1:16" ht="32" customHeight="1" x14ac:dyDescent="0.35">
      <c r="A33" s="26">
        <v>46159</v>
      </c>
      <c r="B33" s="20" t="s">
        <v>77</v>
      </c>
      <c r="C33" s="20">
        <v>2</v>
      </c>
      <c r="D33" s="20" t="s">
        <v>491</v>
      </c>
      <c r="E33" s="20" t="s">
        <v>53</v>
      </c>
      <c r="F33" s="20" t="s">
        <v>532</v>
      </c>
      <c r="G33" s="29">
        <v>155</v>
      </c>
      <c r="H33" s="29">
        <f t="shared" si="0"/>
        <v>2.5833333333333335</v>
      </c>
      <c r="I33" s="20" t="s">
        <v>533</v>
      </c>
      <c r="J33" s="20" t="s">
        <v>534</v>
      </c>
      <c r="K33" s="20" t="s">
        <v>535</v>
      </c>
      <c r="L33" s="20" t="s">
        <v>536</v>
      </c>
      <c r="M33" s="20" t="s">
        <v>537</v>
      </c>
      <c r="N33" s="20" t="s">
        <v>401</v>
      </c>
      <c r="O33" s="20"/>
      <c r="P33" s="21"/>
    </row>
    <row r="34" spans="1:16" ht="32" customHeight="1" x14ac:dyDescent="0.35">
      <c r="A34" s="26">
        <v>46159</v>
      </c>
      <c r="B34" s="20" t="s">
        <v>77</v>
      </c>
      <c r="C34" s="20">
        <v>2</v>
      </c>
      <c r="D34" s="20" t="s">
        <v>491</v>
      </c>
      <c r="E34" s="20" t="s">
        <v>39</v>
      </c>
      <c r="F34" s="20" t="s">
        <v>486</v>
      </c>
      <c r="G34" s="29">
        <v>25</v>
      </c>
      <c r="H34" s="29">
        <f t="shared" si="0"/>
        <v>0.41666666666666669</v>
      </c>
      <c r="I34" s="20" t="s">
        <v>538</v>
      </c>
      <c r="J34" s="20" t="s">
        <v>42</v>
      </c>
      <c r="K34" s="20" t="s">
        <v>539</v>
      </c>
      <c r="L34" s="20" t="s">
        <v>540</v>
      </c>
      <c r="M34" s="20" t="s">
        <v>541</v>
      </c>
      <c r="N34" s="20" t="s">
        <v>401</v>
      </c>
      <c r="O34" s="20"/>
      <c r="P34" s="21"/>
    </row>
    <row r="35" spans="1:16" ht="32" customHeight="1" x14ac:dyDescent="0.35">
      <c r="A35" s="26">
        <v>46160</v>
      </c>
      <c r="B35" s="20" t="s">
        <v>32</v>
      </c>
      <c r="C35" s="20">
        <v>3</v>
      </c>
      <c r="D35" s="20" t="s">
        <v>542</v>
      </c>
      <c r="E35" s="20" t="s">
        <v>301</v>
      </c>
      <c r="F35" s="20" t="s">
        <v>435</v>
      </c>
      <c r="G35" s="29">
        <v>20</v>
      </c>
      <c r="H35" s="29">
        <f t="shared" si="0"/>
        <v>0.33333333333333331</v>
      </c>
      <c r="I35" s="20" t="s">
        <v>396</v>
      </c>
      <c r="J35" s="20" t="s">
        <v>161</v>
      </c>
      <c r="K35" s="20" t="s">
        <v>543</v>
      </c>
      <c r="L35" s="20" t="s">
        <v>544</v>
      </c>
      <c r="M35" s="20" t="s">
        <v>545</v>
      </c>
      <c r="N35" s="20" t="s">
        <v>401</v>
      </c>
      <c r="O35" s="20"/>
      <c r="P35" s="21"/>
    </row>
    <row r="36" spans="1:16" ht="32" customHeight="1" x14ac:dyDescent="0.35">
      <c r="A36" s="26">
        <v>46161</v>
      </c>
      <c r="B36" s="20" t="s">
        <v>45</v>
      </c>
      <c r="C36" s="20">
        <v>3</v>
      </c>
      <c r="D36" s="20" t="s">
        <v>542</v>
      </c>
      <c r="E36" s="20" t="s">
        <v>46</v>
      </c>
      <c r="F36" s="20" t="s">
        <v>546</v>
      </c>
      <c r="G36" s="29">
        <v>45</v>
      </c>
      <c r="H36" s="29">
        <f t="shared" si="0"/>
        <v>0.75</v>
      </c>
      <c r="I36" s="20" t="s">
        <v>547</v>
      </c>
      <c r="J36" s="20" t="s">
        <v>95</v>
      </c>
      <c r="K36" s="20" t="s">
        <v>548</v>
      </c>
      <c r="L36" s="20" t="s">
        <v>396</v>
      </c>
      <c r="M36" s="20" t="s">
        <v>549</v>
      </c>
      <c r="N36" s="20" t="s">
        <v>401</v>
      </c>
      <c r="O36" s="20"/>
      <c r="P36" s="21"/>
    </row>
    <row r="37" spans="1:16" ht="32" customHeight="1" x14ac:dyDescent="0.35">
      <c r="A37" s="26">
        <v>46161</v>
      </c>
      <c r="B37" s="20" t="s">
        <v>45</v>
      </c>
      <c r="C37" s="20">
        <v>3</v>
      </c>
      <c r="D37" s="20" t="s">
        <v>542</v>
      </c>
      <c r="E37" s="20" t="s">
        <v>53</v>
      </c>
      <c r="F37" s="20" t="s">
        <v>550</v>
      </c>
      <c r="G37" s="29">
        <v>45</v>
      </c>
      <c r="H37" s="29">
        <f t="shared" ref="H37:H68" si="1">G37/60</f>
        <v>0.75</v>
      </c>
      <c r="I37" s="20" t="s">
        <v>396</v>
      </c>
      <c r="J37" s="20" t="s">
        <v>551</v>
      </c>
      <c r="K37" s="20" t="s">
        <v>552</v>
      </c>
      <c r="L37" s="20" t="s">
        <v>553</v>
      </c>
      <c r="M37" s="20" t="s">
        <v>554</v>
      </c>
      <c r="N37" s="20" t="s">
        <v>401</v>
      </c>
      <c r="O37" s="20"/>
      <c r="P37" s="21"/>
    </row>
    <row r="38" spans="1:16" ht="32" customHeight="1" x14ac:dyDescent="0.35">
      <c r="A38" s="26">
        <v>46162</v>
      </c>
      <c r="B38" s="20" t="s">
        <v>57</v>
      </c>
      <c r="C38" s="20">
        <v>3</v>
      </c>
      <c r="D38" s="20" t="s">
        <v>542</v>
      </c>
      <c r="E38" s="20" t="s">
        <v>39</v>
      </c>
      <c r="F38" s="20" t="s">
        <v>60</v>
      </c>
      <c r="G38" s="29">
        <v>50</v>
      </c>
      <c r="H38" s="29">
        <f t="shared" si="1"/>
        <v>0.83333333333333337</v>
      </c>
      <c r="I38" s="20" t="s">
        <v>555</v>
      </c>
      <c r="J38" s="20" t="s">
        <v>556</v>
      </c>
      <c r="K38" s="20" t="s">
        <v>557</v>
      </c>
      <c r="L38" s="20" t="s">
        <v>558</v>
      </c>
      <c r="M38" s="20" t="s">
        <v>559</v>
      </c>
      <c r="N38" s="20" t="s">
        <v>401</v>
      </c>
      <c r="O38" s="20"/>
      <c r="P38" s="21"/>
    </row>
    <row r="39" spans="1:16" ht="32" customHeight="1" x14ac:dyDescent="0.35">
      <c r="A39" s="26">
        <v>46162</v>
      </c>
      <c r="B39" s="20" t="s">
        <v>57</v>
      </c>
      <c r="C39" s="20">
        <v>3</v>
      </c>
      <c r="D39" s="20" t="s">
        <v>542</v>
      </c>
      <c r="E39" s="20" t="s">
        <v>34</v>
      </c>
      <c r="F39" s="20" t="s">
        <v>560</v>
      </c>
      <c r="G39" s="29">
        <v>30</v>
      </c>
      <c r="H39" s="29">
        <f t="shared" si="1"/>
        <v>0.5</v>
      </c>
      <c r="I39" s="20" t="s">
        <v>396</v>
      </c>
      <c r="J39" s="20" t="s">
        <v>147</v>
      </c>
      <c r="K39" s="20" t="s">
        <v>561</v>
      </c>
      <c r="L39" s="20" t="s">
        <v>511</v>
      </c>
      <c r="M39" s="20" t="s">
        <v>562</v>
      </c>
      <c r="N39" s="20" t="s">
        <v>401</v>
      </c>
      <c r="O39" s="20"/>
      <c r="P39" s="21"/>
    </row>
    <row r="40" spans="1:16" ht="32" customHeight="1" x14ac:dyDescent="0.35">
      <c r="A40" s="26">
        <v>46163</v>
      </c>
      <c r="B40" s="20" t="s">
        <v>62</v>
      </c>
      <c r="C40" s="20">
        <v>3</v>
      </c>
      <c r="D40" s="20" t="s">
        <v>542</v>
      </c>
      <c r="E40" s="20" t="s">
        <v>53</v>
      </c>
      <c r="F40" s="20" t="s">
        <v>563</v>
      </c>
      <c r="G40" s="29">
        <v>60</v>
      </c>
      <c r="H40" s="29">
        <f t="shared" si="1"/>
        <v>1</v>
      </c>
      <c r="I40" s="20" t="s">
        <v>396</v>
      </c>
      <c r="J40" s="20" t="s">
        <v>564</v>
      </c>
      <c r="K40" s="20" t="s">
        <v>565</v>
      </c>
      <c r="L40" s="20" t="s">
        <v>566</v>
      </c>
      <c r="M40" s="20" t="s">
        <v>567</v>
      </c>
      <c r="N40" s="20" t="s">
        <v>401</v>
      </c>
      <c r="O40" s="20"/>
      <c r="P40" s="21"/>
    </row>
    <row r="41" spans="1:16" ht="32" customHeight="1" x14ac:dyDescent="0.35">
      <c r="A41" s="26">
        <v>46163</v>
      </c>
      <c r="B41" s="20" t="s">
        <v>62</v>
      </c>
      <c r="C41" s="20">
        <v>3</v>
      </c>
      <c r="D41" s="20" t="s">
        <v>542</v>
      </c>
      <c r="E41" s="20" t="s">
        <v>39</v>
      </c>
      <c r="F41" s="20" t="s">
        <v>568</v>
      </c>
      <c r="G41" s="29">
        <v>15</v>
      </c>
      <c r="H41" s="29">
        <f t="shared" si="1"/>
        <v>0.25</v>
      </c>
      <c r="I41" s="20" t="s">
        <v>430</v>
      </c>
      <c r="J41" s="20" t="s">
        <v>95</v>
      </c>
      <c r="K41" s="20" t="s">
        <v>569</v>
      </c>
      <c r="L41" s="20" t="s">
        <v>396</v>
      </c>
      <c r="M41" s="20" t="s">
        <v>570</v>
      </c>
      <c r="N41" s="20" t="s">
        <v>401</v>
      </c>
      <c r="O41" s="20"/>
      <c r="P41" s="21"/>
    </row>
    <row r="42" spans="1:16" ht="32" customHeight="1" x14ac:dyDescent="0.35">
      <c r="A42" s="26">
        <v>46164</v>
      </c>
      <c r="B42" s="20" t="s">
        <v>66</v>
      </c>
      <c r="C42" s="20">
        <v>3</v>
      </c>
      <c r="D42" s="20" t="s">
        <v>542</v>
      </c>
      <c r="E42" s="20" t="s">
        <v>46</v>
      </c>
      <c r="F42" s="20" t="s">
        <v>571</v>
      </c>
      <c r="G42" s="29">
        <v>40</v>
      </c>
      <c r="H42" s="29">
        <f t="shared" si="1"/>
        <v>0.66666666666666663</v>
      </c>
      <c r="I42" s="20" t="s">
        <v>572</v>
      </c>
      <c r="J42" s="20" t="s">
        <v>95</v>
      </c>
      <c r="K42" s="20" t="s">
        <v>573</v>
      </c>
      <c r="L42" s="20" t="s">
        <v>396</v>
      </c>
      <c r="M42" s="20" t="s">
        <v>574</v>
      </c>
      <c r="N42" s="20" t="s">
        <v>401</v>
      </c>
      <c r="O42" s="20"/>
      <c r="P42" s="21"/>
    </row>
    <row r="43" spans="1:16" ht="32" customHeight="1" x14ac:dyDescent="0.35">
      <c r="A43" s="26">
        <v>46165</v>
      </c>
      <c r="B43" s="20" t="s">
        <v>73</v>
      </c>
      <c r="C43" s="20">
        <v>3</v>
      </c>
      <c r="D43" s="20" t="s">
        <v>542</v>
      </c>
      <c r="E43" s="20" t="s">
        <v>39</v>
      </c>
      <c r="F43" s="20" t="s">
        <v>575</v>
      </c>
      <c r="G43" s="29">
        <v>65</v>
      </c>
      <c r="H43" s="29">
        <f t="shared" si="1"/>
        <v>1.0833333333333333</v>
      </c>
      <c r="I43" s="20" t="s">
        <v>576</v>
      </c>
      <c r="J43" s="20" t="s">
        <v>42</v>
      </c>
      <c r="K43" s="20" t="s">
        <v>577</v>
      </c>
      <c r="L43" s="20" t="s">
        <v>578</v>
      </c>
      <c r="M43" s="20" t="s">
        <v>579</v>
      </c>
      <c r="N43" s="20" t="s">
        <v>401</v>
      </c>
      <c r="O43" s="20"/>
      <c r="P43" s="21"/>
    </row>
    <row r="44" spans="1:16" ht="32" customHeight="1" x14ac:dyDescent="0.35">
      <c r="A44" s="26">
        <v>46166</v>
      </c>
      <c r="B44" s="20" t="s">
        <v>77</v>
      </c>
      <c r="C44" s="20">
        <v>3</v>
      </c>
      <c r="D44" s="20" t="s">
        <v>542</v>
      </c>
      <c r="E44" s="20" t="s">
        <v>53</v>
      </c>
      <c r="F44" s="20" t="s">
        <v>169</v>
      </c>
      <c r="G44" s="29">
        <v>120</v>
      </c>
      <c r="H44" s="29">
        <f t="shared" si="1"/>
        <v>2</v>
      </c>
      <c r="I44" s="20" t="s">
        <v>580</v>
      </c>
      <c r="J44" s="20" t="s">
        <v>42</v>
      </c>
      <c r="K44" s="20" t="s">
        <v>581</v>
      </c>
      <c r="L44" s="20" t="s">
        <v>582</v>
      </c>
      <c r="M44" s="20" t="s">
        <v>583</v>
      </c>
      <c r="N44" s="20" t="s">
        <v>401</v>
      </c>
      <c r="O44" s="20"/>
      <c r="P44" s="21"/>
    </row>
    <row r="45" spans="1:16" ht="32" customHeight="1" x14ac:dyDescent="0.35">
      <c r="A45" s="26">
        <v>46166</v>
      </c>
      <c r="B45" s="20" t="s">
        <v>77</v>
      </c>
      <c r="C45" s="20">
        <v>3</v>
      </c>
      <c r="D45" s="20" t="s">
        <v>542</v>
      </c>
      <c r="E45" s="20" t="s">
        <v>39</v>
      </c>
      <c r="F45" s="20" t="s">
        <v>584</v>
      </c>
      <c r="G45" s="29">
        <v>10</v>
      </c>
      <c r="H45" s="29">
        <f t="shared" si="1"/>
        <v>0.16666666666666666</v>
      </c>
      <c r="I45" s="20" t="s">
        <v>585</v>
      </c>
      <c r="J45" s="20" t="s">
        <v>315</v>
      </c>
      <c r="K45" s="20" t="s">
        <v>586</v>
      </c>
      <c r="L45" s="20" t="s">
        <v>396</v>
      </c>
      <c r="M45" s="20" t="s">
        <v>587</v>
      </c>
      <c r="N45" s="20" t="s">
        <v>401</v>
      </c>
      <c r="O45" s="20"/>
      <c r="P45" s="21"/>
    </row>
    <row r="46" spans="1:16" ht="32" customHeight="1" x14ac:dyDescent="0.35">
      <c r="A46" s="26">
        <v>46167</v>
      </c>
      <c r="B46" s="20" t="s">
        <v>32</v>
      </c>
      <c r="C46" s="20">
        <v>4</v>
      </c>
      <c r="D46" s="20" t="s">
        <v>588</v>
      </c>
      <c r="E46" s="20" t="s">
        <v>301</v>
      </c>
      <c r="F46" s="20" t="s">
        <v>435</v>
      </c>
      <c r="G46" s="29">
        <v>20</v>
      </c>
      <c r="H46" s="29">
        <f t="shared" si="1"/>
        <v>0.33333333333333331</v>
      </c>
      <c r="I46" s="20" t="s">
        <v>396</v>
      </c>
      <c r="J46" s="20" t="s">
        <v>161</v>
      </c>
      <c r="K46" s="20" t="s">
        <v>589</v>
      </c>
      <c r="L46" s="20" t="s">
        <v>590</v>
      </c>
      <c r="M46" s="20" t="s">
        <v>591</v>
      </c>
      <c r="N46" s="20" t="s">
        <v>401</v>
      </c>
      <c r="O46" s="20"/>
      <c r="P46" s="21"/>
    </row>
    <row r="47" spans="1:16" ht="32" customHeight="1" x14ac:dyDescent="0.35">
      <c r="A47" s="26">
        <v>46168</v>
      </c>
      <c r="B47" s="20" t="s">
        <v>45</v>
      </c>
      <c r="C47" s="20">
        <v>4</v>
      </c>
      <c r="D47" s="20" t="s">
        <v>588</v>
      </c>
      <c r="E47" s="20" t="s">
        <v>46</v>
      </c>
      <c r="F47" s="20" t="s">
        <v>592</v>
      </c>
      <c r="G47" s="29">
        <v>55</v>
      </c>
      <c r="H47" s="29">
        <f t="shared" si="1"/>
        <v>0.91666666666666663</v>
      </c>
      <c r="I47" s="20" t="s">
        <v>593</v>
      </c>
      <c r="J47" s="20" t="s">
        <v>497</v>
      </c>
      <c r="K47" s="20" t="s">
        <v>594</v>
      </c>
      <c r="L47" s="20" t="s">
        <v>396</v>
      </c>
      <c r="M47" s="20" t="s">
        <v>595</v>
      </c>
      <c r="N47" s="20" t="s">
        <v>401</v>
      </c>
      <c r="O47" s="20"/>
      <c r="P47" s="21"/>
    </row>
    <row r="48" spans="1:16" ht="32" customHeight="1" x14ac:dyDescent="0.35">
      <c r="A48" s="26">
        <v>46168</v>
      </c>
      <c r="B48" s="20" t="s">
        <v>45</v>
      </c>
      <c r="C48" s="20">
        <v>4</v>
      </c>
      <c r="D48" s="20" t="s">
        <v>588</v>
      </c>
      <c r="E48" s="20" t="s">
        <v>53</v>
      </c>
      <c r="F48" s="20" t="s">
        <v>596</v>
      </c>
      <c r="G48" s="29">
        <v>55</v>
      </c>
      <c r="H48" s="29">
        <f t="shared" si="1"/>
        <v>0.91666666666666663</v>
      </c>
      <c r="I48" s="20" t="s">
        <v>396</v>
      </c>
      <c r="J48" s="20" t="s">
        <v>425</v>
      </c>
      <c r="K48" s="20" t="s">
        <v>597</v>
      </c>
      <c r="L48" s="20" t="s">
        <v>598</v>
      </c>
      <c r="M48" s="20" t="s">
        <v>599</v>
      </c>
      <c r="N48" s="20" t="s">
        <v>401</v>
      </c>
      <c r="O48" s="20"/>
      <c r="P48" s="21"/>
    </row>
    <row r="49" spans="1:16" ht="32" customHeight="1" x14ac:dyDescent="0.35">
      <c r="A49" s="26">
        <v>46169</v>
      </c>
      <c r="B49" s="20" t="s">
        <v>57</v>
      </c>
      <c r="C49" s="20">
        <v>4</v>
      </c>
      <c r="D49" s="20" t="s">
        <v>588</v>
      </c>
      <c r="E49" s="20" t="s">
        <v>39</v>
      </c>
      <c r="F49" s="20" t="s">
        <v>600</v>
      </c>
      <c r="G49" s="29">
        <v>65</v>
      </c>
      <c r="H49" s="29">
        <f t="shared" si="1"/>
        <v>1.0833333333333333</v>
      </c>
      <c r="I49" s="20" t="s">
        <v>601</v>
      </c>
      <c r="J49" s="20" t="s">
        <v>215</v>
      </c>
      <c r="K49" s="20" t="s">
        <v>602</v>
      </c>
      <c r="L49" s="20" t="s">
        <v>603</v>
      </c>
      <c r="M49" s="20" t="s">
        <v>604</v>
      </c>
      <c r="N49" s="20" t="s">
        <v>401</v>
      </c>
      <c r="O49" s="20"/>
      <c r="P49" s="21"/>
    </row>
    <row r="50" spans="1:16" ht="32" customHeight="1" x14ac:dyDescent="0.35">
      <c r="A50" s="26">
        <v>46169</v>
      </c>
      <c r="B50" s="20" t="s">
        <v>57</v>
      </c>
      <c r="C50" s="20">
        <v>4</v>
      </c>
      <c r="D50" s="20" t="s">
        <v>588</v>
      </c>
      <c r="E50" s="20" t="s">
        <v>34</v>
      </c>
      <c r="F50" s="20" t="s">
        <v>605</v>
      </c>
      <c r="G50" s="29">
        <v>35</v>
      </c>
      <c r="H50" s="29">
        <f t="shared" si="1"/>
        <v>0.58333333333333337</v>
      </c>
      <c r="I50" s="20" t="s">
        <v>396</v>
      </c>
      <c r="J50" s="20" t="s">
        <v>36</v>
      </c>
      <c r="K50" s="20" t="s">
        <v>606</v>
      </c>
      <c r="L50" s="20" t="s">
        <v>511</v>
      </c>
      <c r="M50" s="20" t="s">
        <v>607</v>
      </c>
      <c r="N50" s="20" t="s">
        <v>401</v>
      </c>
      <c r="O50" s="20"/>
      <c r="P50" s="21"/>
    </row>
    <row r="51" spans="1:16" ht="32" customHeight="1" x14ac:dyDescent="0.35">
      <c r="A51" s="26">
        <v>46170</v>
      </c>
      <c r="B51" s="20" t="s">
        <v>62</v>
      </c>
      <c r="C51" s="20">
        <v>4</v>
      </c>
      <c r="D51" s="20" t="s">
        <v>588</v>
      </c>
      <c r="E51" s="20" t="s">
        <v>53</v>
      </c>
      <c r="F51" s="20" t="s">
        <v>608</v>
      </c>
      <c r="G51" s="29">
        <v>80</v>
      </c>
      <c r="H51" s="29">
        <f t="shared" si="1"/>
        <v>1.3333333333333333</v>
      </c>
      <c r="I51" s="20" t="s">
        <v>396</v>
      </c>
      <c r="J51" s="20" t="s">
        <v>609</v>
      </c>
      <c r="K51" s="20" t="s">
        <v>610</v>
      </c>
      <c r="L51" s="20" t="s">
        <v>611</v>
      </c>
      <c r="M51" s="20" t="s">
        <v>612</v>
      </c>
      <c r="N51" s="20" t="s">
        <v>401</v>
      </c>
      <c r="O51" s="20"/>
      <c r="P51" s="21"/>
    </row>
    <row r="52" spans="1:16" ht="32" customHeight="1" x14ac:dyDescent="0.35">
      <c r="A52" s="26">
        <v>46170</v>
      </c>
      <c r="B52" s="20" t="s">
        <v>62</v>
      </c>
      <c r="C52" s="20">
        <v>4</v>
      </c>
      <c r="D52" s="20" t="s">
        <v>588</v>
      </c>
      <c r="E52" s="20" t="s">
        <v>39</v>
      </c>
      <c r="F52" s="20" t="s">
        <v>486</v>
      </c>
      <c r="G52" s="29">
        <v>20</v>
      </c>
      <c r="H52" s="29">
        <f t="shared" si="1"/>
        <v>0.33333333333333331</v>
      </c>
      <c r="I52" s="20" t="s">
        <v>487</v>
      </c>
      <c r="J52" s="20" t="s">
        <v>42</v>
      </c>
      <c r="K52" s="20" t="s">
        <v>613</v>
      </c>
      <c r="L52" s="20" t="s">
        <v>614</v>
      </c>
      <c r="M52" s="20" t="s">
        <v>615</v>
      </c>
      <c r="N52" s="20" t="s">
        <v>401</v>
      </c>
      <c r="O52" s="20"/>
      <c r="P52" s="21"/>
    </row>
    <row r="53" spans="1:16" ht="32" customHeight="1" x14ac:dyDescent="0.35">
      <c r="A53" s="26">
        <v>46171</v>
      </c>
      <c r="B53" s="20" t="s">
        <v>66</v>
      </c>
      <c r="C53" s="20">
        <v>4</v>
      </c>
      <c r="D53" s="20" t="s">
        <v>588</v>
      </c>
      <c r="E53" s="20" t="s">
        <v>46</v>
      </c>
      <c r="F53" s="20" t="s">
        <v>68</v>
      </c>
      <c r="G53" s="29">
        <v>50</v>
      </c>
      <c r="H53" s="29">
        <f t="shared" si="1"/>
        <v>0.83333333333333337</v>
      </c>
      <c r="I53" s="20" t="s">
        <v>524</v>
      </c>
      <c r="J53" s="20" t="s">
        <v>42</v>
      </c>
      <c r="K53" s="20" t="s">
        <v>616</v>
      </c>
      <c r="L53" s="20" t="s">
        <v>396</v>
      </c>
      <c r="M53" s="20" t="s">
        <v>617</v>
      </c>
      <c r="N53" s="20" t="s">
        <v>401</v>
      </c>
      <c r="O53" s="20"/>
      <c r="P53" s="21"/>
    </row>
    <row r="54" spans="1:16" ht="32" customHeight="1" x14ac:dyDescent="0.35">
      <c r="A54" s="26">
        <v>46172</v>
      </c>
      <c r="B54" s="20" t="s">
        <v>73</v>
      </c>
      <c r="C54" s="20">
        <v>4</v>
      </c>
      <c r="D54" s="20" t="s">
        <v>588</v>
      </c>
      <c r="E54" s="20" t="s">
        <v>39</v>
      </c>
      <c r="F54" s="20" t="s">
        <v>475</v>
      </c>
      <c r="G54" s="29">
        <v>85</v>
      </c>
      <c r="H54" s="29">
        <f t="shared" si="1"/>
        <v>1.4166666666666667</v>
      </c>
      <c r="I54" s="20" t="s">
        <v>618</v>
      </c>
      <c r="J54" s="20" t="s">
        <v>42</v>
      </c>
      <c r="K54" s="20" t="s">
        <v>619</v>
      </c>
      <c r="L54" s="20" t="s">
        <v>598</v>
      </c>
      <c r="M54" s="20" t="s">
        <v>620</v>
      </c>
      <c r="N54" s="20" t="s">
        <v>401</v>
      </c>
      <c r="O54" s="20"/>
      <c r="P54" s="21"/>
    </row>
    <row r="55" spans="1:16" ht="32" customHeight="1" x14ac:dyDescent="0.35">
      <c r="A55" s="26">
        <v>46173</v>
      </c>
      <c r="B55" s="20" t="s">
        <v>77</v>
      </c>
      <c r="C55" s="20">
        <v>4</v>
      </c>
      <c r="D55" s="20" t="s">
        <v>588</v>
      </c>
      <c r="E55" s="20" t="s">
        <v>53</v>
      </c>
      <c r="F55" s="20" t="s">
        <v>621</v>
      </c>
      <c r="G55" s="29">
        <v>165</v>
      </c>
      <c r="H55" s="29">
        <f t="shared" si="1"/>
        <v>2.75</v>
      </c>
      <c r="I55" s="20" t="s">
        <v>622</v>
      </c>
      <c r="J55" s="20" t="s">
        <v>623</v>
      </c>
      <c r="K55" s="20" t="s">
        <v>624</v>
      </c>
      <c r="L55" s="20" t="s">
        <v>625</v>
      </c>
      <c r="M55" s="20" t="s">
        <v>626</v>
      </c>
      <c r="N55" s="20" t="s">
        <v>401</v>
      </c>
      <c r="O55" s="20"/>
      <c r="P55" s="21"/>
    </row>
    <row r="56" spans="1:16" ht="32" customHeight="1" x14ac:dyDescent="0.35">
      <c r="A56" s="26">
        <v>46173</v>
      </c>
      <c r="B56" s="20" t="s">
        <v>77</v>
      </c>
      <c r="C56" s="20">
        <v>4</v>
      </c>
      <c r="D56" s="20" t="s">
        <v>588</v>
      </c>
      <c r="E56" s="20" t="s">
        <v>39</v>
      </c>
      <c r="F56" s="20" t="s">
        <v>486</v>
      </c>
      <c r="G56" s="29">
        <v>25</v>
      </c>
      <c r="H56" s="29">
        <f t="shared" si="1"/>
        <v>0.41666666666666669</v>
      </c>
      <c r="I56" s="20" t="s">
        <v>627</v>
      </c>
      <c r="J56" s="20" t="s">
        <v>42</v>
      </c>
      <c r="K56" s="20" t="s">
        <v>628</v>
      </c>
      <c r="L56" s="20" t="s">
        <v>629</v>
      </c>
      <c r="M56" s="20" t="s">
        <v>630</v>
      </c>
      <c r="N56" s="20" t="s">
        <v>401</v>
      </c>
      <c r="O56" s="20"/>
      <c r="P56" s="21"/>
    </row>
    <row r="57" spans="1:16" ht="32" customHeight="1" x14ac:dyDescent="0.35">
      <c r="A57" s="26">
        <v>46174</v>
      </c>
      <c r="B57" s="20" t="s">
        <v>32</v>
      </c>
      <c r="C57" s="20">
        <v>5</v>
      </c>
      <c r="D57" s="20" t="s">
        <v>631</v>
      </c>
      <c r="E57" s="20" t="s">
        <v>301</v>
      </c>
      <c r="F57" s="20" t="s">
        <v>435</v>
      </c>
      <c r="G57" s="29">
        <v>15</v>
      </c>
      <c r="H57" s="29">
        <f t="shared" si="1"/>
        <v>0.25</v>
      </c>
      <c r="I57" s="20" t="s">
        <v>396</v>
      </c>
      <c r="J57" s="20" t="s">
        <v>161</v>
      </c>
      <c r="K57" s="20" t="s">
        <v>632</v>
      </c>
      <c r="L57" s="20" t="s">
        <v>396</v>
      </c>
      <c r="M57" s="20" t="s">
        <v>633</v>
      </c>
      <c r="N57" s="20" t="s">
        <v>401</v>
      </c>
      <c r="O57" s="20"/>
      <c r="P57" s="21"/>
    </row>
    <row r="58" spans="1:16" ht="32" customHeight="1" x14ac:dyDescent="0.35">
      <c r="A58" s="26">
        <v>46175</v>
      </c>
      <c r="B58" s="20" t="s">
        <v>45</v>
      </c>
      <c r="C58" s="20">
        <v>5</v>
      </c>
      <c r="D58" s="20" t="s">
        <v>631</v>
      </c>
      <c r="E58" s="20" t="s">
        <v>46</v>
      </c>
      <c r="F58" s="20" t="s">
        <v>634</v>
      </c>
      <c r="G58" s="29">
        <v>55</v>
      </c>
      <c r="H58" s="29">
        <f t="shared" si="1"/>
        <v>0.91666666666666663</v>
      </c>
      <c r="I58" s="20" t="s">
        <v>635</v>
      </c>
      <c r="J58" s="20" t="s">
        <v>636</v>
      </c>
      <c r="K58" s="20" t="s">
        <v>637</v>
      </c>
      <c r="L58" s="20" t="s">
        <v>396</v>
      </c>
      <c r="M58" s="20" t="s">
        <v>638</v>
      </c>
      <c r="N58" s="20" t="s">
        <v>401</v>
      </c>
      <c r="O58" s="20"/>
      <c r="P58" s="21"/>
    </row>
    <row r="59" spans="1:16" ht="32" customHeight="1" x14ac:dyDescent="0.35">
      <c r="A59" s="26">
        <v>46175</v>
      </c>
      <c r="B59" s="20" t="s">
        <v>45</v>
      </c>
      <c r="C59" s="20">
        <v>5</v>
      </c>
      <c r="D59" s="20" t="s">
        <v>631</v>
      </c>
      <c r="E59" s="20" t="s">
        <v>53</v>
      </c>
      <c r="F59" s="20" t="s">
        <v>445</v>
      </c>
      <c r="G59" s="29">
        <v>60</v>
      </c>
      <c r="H59" s="29">
        <f t="shared" si="1"/>
        <v>1</v>
      </c>
      <c r="I59" s="20" t="s">
        <v>396</v>
      </c>
      <c r="J59" s="20" t="s">
        <v>42</v>
      </c>
      <c r="K59" s="20" t="s">
        <v>639</v>
      </c>
      <c r="L59" s="20" t="s">
        <v>461</v>
      </c>
      <c r="M59" s="20" t="s">
        <v>640</v>
      </c>
      <c r="N59" s="20" t="s">
        <v>401</v>
      </c>
      <c r="O59" s="20"/>
      <c r="P59" s="21"/>
    </row>
    <row r="60" spans="1:16" ht="32" customHeight="1" x14ac:dyDescent="0.35">
      <c r="A60" s="26">
        <v>46176</v>
      </c>
      <c r="B60" s="20" t="s">
        <v>57</v>
      </c>
      <c r="C60" s="20">
        <v>5</v>
      </c>
      <c r="D60" s="20" t="s">
        <v>631</v>
      </c>
      <c r="E60" s="20" t="s">
        <v>39</v>
      </c>
      <c r="F60" s="20" t="s">
        <v>641</v>
      </c>
      <c r="G60" s="29">
        <v>70</v>
      </c>
      <c r="H60" s="29">
        <f t="shared" si="1"/>
        <v>1.1666666666666667</v>
      </c>
      <c r="I60" s="20" t="s">
        <v>642</v>
      </c>
      <c r="J60" s="20" t="s">
        <v>113</v>
      </c>
      <c r="K60" s="20" t="s">
        <v>643</v>
      </c>
      <c r="L60" s="20" t="s">
        <v>644</v>
      </c>
      <c r="M60" s="20" t="s">
        <v>645</v>
      </c>
      <c r="N60" s="20" t="s">
        <v>401</v>
      </c>
      <c r="O60" s="20"/>
      <c r="P60" s="21"/>
    </row>
    <row r="61" spans="1:16" ht="32" customHeight="1" x14ac:dyDescent="0.35">
      <c r="A61" s="26">
        <v>46176</v>
      </c>
      <c r="B61" s="20" t="s">
        <v>57</v>
      </c>
      <c r="C61" s="20">
        <v>5</v>
      </c>
      <c r="D61" s="20" t="s">
        <v>631</v>
      </c>
      <c r="E61" s="20" t="s">
        <v>34</v>
      </c>
      <c r="F61" s="20" t="s">
        <v>646</v>
      </c>
      <c r="G61" s="29">
        <v>35</v>
      </c>
      <c r="H61" s="29">
        <f t="shared" si="1"/>
        <v>0.58333333333333337</v>
      </c>
      <c r="I61" s="20" t="s">
        <v>396</v>
      </c>
      <c r="J61" s="20" t="s">
        <v>454</v>
      </c>
      <c r="K61" s="20" t="s">
        <v>647</v>
      </c>
      <c r="L61" s="20" t="s">
        <v>511</v>
      </c>
      <c r="M61" s="20" t="s">
        <v>648</v>
      </c>
      <c r="N61" s="20" t="s">
        <v>401</v>
      </c>
      <c r="O61" s="20"/>
      <c r="P61" s="21"/>
    </row>
    <row r="62" spans="1:16" ht="32" customHeight="1" x14ac:dyDescent="0.35">
      <c r="A62" s="26">
        <v>46177</v>
      </c>
      <c r="B62" s="20" t="s">
        <v>62</v>
      </c>
      <c r="C62" s="20">
        <v>5</v>
      </c>
      <c r="D62" s="20" t="s">
        <v>631</v>
      </c>
      <c r="E62" s="20" t="s">
        <v>53</v>
      </c>
      <c r="F62" s="20" t="s">
        <v>649</v>
      </c>
      <c r="G62" s="29">
        <v>80</v>
      </c>
      <c r="H62" s="29">
        <f t="shared" si="1"/>
        <v>1.3333333333333333</v>
      </c>
      <c r="I62" s="20" t="s">
        <v>396</v>
      </c>
      <c r="J62" s="20" t="s">
        <v>650</v>
      </c>
      <c r="K62" s="20" t="s">
        <v>651</v>
      </c>
      <c r="L62" s="20" t="s">
        <v>652</v>
      </c>
      <c r="M62" s="20" t="s">
        <v>653</v>
      </c>
      <c r="N62" s="20" t="s">
        <v>401</v>
      </c>
      <c r="O62" s="20"/>
      <c r="P62" s="21"/>
    </row>
    <row r="63" spans="1:16" ht="32" customHeight="1" x14ac:dyDescent="0.35">
      <c r="A63" s="26">
        <v>46177</v>
      </c>
      <c r="B63" s="20" t="s">
        <v>62</v>
      </c>
      <c r="C63" s="20">
        <v>5</v>
      </c>
      <c r="D63" s="20" t="s">
        <v>631</v>
      </c>
      <c r="E63" s="20" t="s">
        <v>39</v>
      </c>
      <c r="F63" s="20" t="s">
        <v>654</v>
      </c>
      <c r="G63" s="29">
        <v>25</v>
      </c>
      <c r="H63" s="29">
        <f t="shared" si="1"/>
        <v>0.41666666666666669</v>
      </c>
      <c r="I63" s="20" t="s">
        <v>627</v>
      </c>
      <c r="J63" s="20" t="s">
        <v>42</v>
      </c>
      <c r="K63" s="20" t="s">
        <v>655</v>
      </c>
      <c r="L63" s="20" t="s">
        <v>656</v>
      </c>
      <c r="M63" s="20" t="s">
        <v>657</v>
      </c>
      <c r="N63" s="20" t="s">
        <v>401</v>
      </c>
      <c r="O63" s="20"/>
      <c r="P63" s="21"/>
    </row>
    <row r="64" spans="1:16" ht="32" customHeight="1" x14ac:dyDescent="0.35">
      <c r="A64" s="26">
        <v>46178</v>
      </c>
      <c r="B64" s="20" t="s">
        <v>66</v>
      </c>
      <c r="C64" s="20">
        <v>5</v>
      </c>
      <c r="D64" s="20" t="s">
        <v>631</v>
      </c>
      <c r="E64" s="20" t="s">
        <v>46</v>
      </c>
      <c r="F64" s="20" t="s">
        <v>658</v>
      </c>
      <c r="G64" s="29">
        <v>55</v>
      </c>
      <c r="H64" s="29">
        <f t="shared" si="1"/>
        <v>0.91666666666666663</v>
      </c>
      <c r="I64" s="20" t="s">
        <v>659</v>
      </c>
      <c r="J64" s="20" t="s">
        <v>42</v>
      </c>
      <c r="K64" s="20" t="s">
        <v>660</v>
      </c>
      <c r="L64" s="20" t="s">
        <v>396</v>
      </c>
      <c r="M64" s="20" t="s">
        <v>661</v>
      </c>
      <c r="N64" s="20" t="s">
        <v>401</v>
      </c>
      <c r="O64" s="20"/>
      <c r="P64" s="21"/>
    </row>
    <row r="65" spans="1:16" ht="32" customHeight="1" x14ac:dyDescent="0.35">
      <c r="A65" s="26">
        <v>46179</v>
      </c>
      <c r="B65" s="20" t="s">
        <v>73</v>
      </c>
      <c r="C65" s="20">
        <v>5</v>
      </c>
      <c r="D65" s="20" t="s">
        <v>631</v>
      </c>
      <c r="E65" s="20" t="s">
        <v>39</v>
      </c>
      <c r="F65" s="20" t="s">
        <v>475</v>
      </c>
      <c r="G65" s="29">
        <v>85</v>
      </c>
      <c r="H65" s="29">
        <f t="shared" si="1"/>
        <v>1.4166666666666667</v>
      </c>
      <c r="I65" s="20" t="s">
        <v>662</v>
      </c>
      <c r="J65" s="20" t="s">
        <v>42</v>
      </c>
      <c r="K65" s="20" t="s">
        <v>663</v>
      </c>
      <c r="L65" s="20" t="s">
        <v>598</v>
      </c>
      <c r="M65" s="20" t="s">
        <v>620</v>
      </c>
      <c r="N65" s="20" t="s">
        <v>401</v>
      </c>
      <c r="O65" s="20"/>
      <c r="P65" s="21"/>
    </row>
    <row r="66" spans="1:16" ht="32" customHeight="1" x14ac:dyDescent="0.35">
      <c r="A66" s="26">
        <v>46180</v>
      </c>
      <c r="B66" s="20" t="s">
        <v>77</v>
      </c>
      <c r="C66" s="20">
        <v>5</v>
      </c>
      <c r="D66" s="20" t="s">
        <v>631</v>
      </c>
      <c r="E66" s="20" t="s">
        <v>53</v>
      </c>
      <c r="F66" s="20" t="s">
        <v>664</v>
      </c>
      <c r="G66" s="29">
        <v>155</v>
      </c>
      <c r="H66" s="29">
        <f t="shared" si="1"/>
        <v>2.5833333333333335</v>
      </c>
      <c r="I66" s="20" t="s">
        <v>665</v>
      </c>
      <c r="J66" s="20" t="s">
        <v>666</v>
      </c>
      <c r="K66" s="20" t="s">
        <v>667</v>
      </c>
      <c r="L66" s="20" t="s">
        <v>668</v>
      </c>
      <c r="M66" s="20" t="s">
        <v>669</v>
      </c>
      <c r="N66" s="20" t="s">
        <v>401</v>
      </c>
      <c r="O66" s="20"/>
      <c r="P66" s="21"/>
    </row>
    <row r="67" spans="1:16" ht="32" customHeight="1" x14ac:dyDescent="0.35">
      <c r="A67" s="26">
        <v>46180</v>
      </c>
      <c r="B67" s="20" t="s">
        <v>77</v>
      </c>
      <c r="C67" s="20">
        <v>5</v>
      </c>
      <c r="D67" s="20" t="s">
        <v>631</v>
      </c>
      <c r="E67" s="20" t="s">
        <v>39</v>
      </c>
      <c r="F67" s="20" t="s">
        <v>486</v>
      </c>
      <c r="G67" s="29">
        <v>20</v>
      </c>
      <c r="H67" s="29">
        <f t="shared" si="1"/>
        <v>0.33333333333333331</v>
      </c>
      <c r="I67" s="20" t="s">
        <v>519</v>
      </c>
      <c r="J67" s="20" t="s">
        <v>42</v>
      </c>
      <c r="K67" s="20" t="s">
        <v>670</v>
      </c>
      <c r="L67" s="20" t="s">
        <v>671</v>
      </c>
      <c r="M67" s="20" t="s">
        <v>672</v>
      </c>
      <c r="N67" s="20" t="s">
        <v>401</v>
      </c>
      <c r="O67" s="20"/>
      <c r="P67" s="21"/>
    </row>
    <row r="68" spans="1:16" ht="32" customHeight="1" x14ac:dyDescent="0.35">
      <c r="A68" s="26">
        <v>46181</v>
      </c>
      <c r="B68" s="20" t="s">
        <v>32</v>
      </c>
      <c r="C68" s="20">
        <v>6</v>
      </c>
      <c r="D68" s="20" t="s">
        <v>673</v>
      </c>
      <c r="E68" s="20" t="s">
        <v>301</v>
      </c>
      <c r="F68" s="20" t="s">
        <v>435</v>
      </c>
      <c r="G68" s="29">
        <v>15</v>
      </c>
      <c r="H68" s="29">
        <f t="shared" si="1"/>
        <v>0.25</v>
      </c>
      <c r="I68" s="20" t="s">
        <v>396</v>
      </c>
      <c r="J68" s="20" t="s">
        <v>161</v>
      </c>
      <c r="K68" s="20" t="s">
        <v>589</v>
      </c>
      <c r="L68" s="20" t="s">
        <v>396</v>
      </c>
      <c r="M68" s="20" t="s">
        <v>674</v>
      </c>
      <c r="N68" s="20" t="s">
        <v>401</v>
      </c>
      <c r="O68" s="20"/>
      <c r="P68" s="21"/>
    </row>
    <row r="69" spans="1:16" ht="32" customHeight="1" x14ac:dyDescent="0.35">
      <c r="A69" s="26">
        <v>46182</v>
      </c>
      <c r="B69" s="20" t="s">
        <v>45</v>
      </c>
      <c r="C69" s="20">
        <v>6</v>
      </c>
      <c r="D69" s="20" t="s">
        <v>673</v>
      </c>
      <c r="E69" s="20" t="s">
        <v>46</v>
      </c>
      <c r="F69" s="20" t="s">
        <v>675</v>
      </c>
      <c r="G69" s="29">
        <v>60</v>
      </c>
      <c r="H69" s="29">
        <f t="shared" ref="H69:H100" si="2">G69/60</f>
        <v>1</v>
      </c>
      <c r="I69" s="20" t="s">
        <v>676</v>
      </c>
      <c r="J69" s="20" t="s">
        <v>677</v>
      </c>
      <c r="K69" s="20" t="s">
        <v>678</v>
      </c>
      <c r="L69" s="20" t="s">
        <v>396</v>
      </c>
      <c r="M69" s="20" t="s">
        <v>679</v>
      </c>
      <c r="N69" s="20" t="s">
        <v>401</v>
      </c>
      <c r="O69" s="20"/>
      <c r="P69" s="21"/>
    </row>
    <row r="70" spans="1:16" ht="32" customHeight="1" x14ac:dyDescent="0.35">
      <c r="A70" s="26">
        <v>46182</v>
      </c>
      <c r="B70" s="20" t="s">
        <v>45</v>
      </c>
      <c r="C70" s="20">
        <v>6</v>
      </c>
      <c r="D70" s="20" t="s">
        <v>673</v>
      </c>
      <c r="E70" s="20" t="s">
        <v>53</v>
      </c>
      <c r="F70" s="20" t="s">
        <v>680</v>
      </c>
      <c r="G70" s="29">
        <v>55</v>
      </c>
      <c r="H70" s="29">
        <f t="shared" si="2"/>
        <v>0.91666666666666663</v>
      </c>
      <c r="I70" s="20" t="s">
        <v>396</v>
      </c>
      <c r="J70" s="20" t="s">
        <v>681</v>
      </c>
      <c r="K70" s="20" t="s">
        <v>682</v>
      </c>
      <c r="L70" s="20" t="s">
        <v>598</v>
      </c>
      <c r="M70" s="20" t="s">
        <v>640</v>
      </c>
      <c r="N70" s="20" t="s">
        <v>401</v>
      </c>
      <c r="O70" s="20"/>
      <c r="P70" s="21"/>
    </row>
    <row r="71" spans="1:16" ht="32" customHeight="1" x14ac:dyDescent="0.35">
      <c r="A71" s="26">
        <v>46183</v>
      </c>
      <c r="B71" s="20" t="s">
        <v>57</v>
      </c>
      <c r="C71" s="20">
        <v>6</v>
      </c>
      <c r="D71" s="20" t="s">
        <v>673</v>
      </c>
      <c r="E71" s="20" t="s">
        <v>39</v>
      </c>
      <c r="F71" s="20" t="s">
        <v>683</v>
      </c>
      <c r="G71" s="29">
        <v>70</v>
      </c>
      <c r="H71" s="29">
        <f t="shared" si="2"/>
        <v>1.1666666666666667</v>
      </c>
      <c r="I71" s="20" t="s">
        <v>642</v>
      </c>
      <c r="J71" s="20" t="s">
        <v>215</v>
      </c>
      <c r="K71" s="20" t="s">
        <v>684</v>
      </c>
      <c r="L71" s="20" t="s">
        <v>685</v>
      </c>
      <c r="M71" s="20" t="s">
        <v>686</v>
      </c>
      <c r="N71" s="20" t="s">
        <v>401</v>
      </c>
      <c r="O71" s="20"/>
      <c r="P71" s="21"/>
    </row>
    <row r="72" spans="1:16" ht="32" customHeight="1" x14ac:dyDescent="0.35">
      <c r="A72" s="26">
        <v>46183</v>
      </c>
      <c r="B72" s="20" t="s">
        <v>57</v>
      </c>
      <c r="C72" s="20">
        <v>6</v>
      </c>
      <c r="D72" s="20" t="s">
        <v>673</v>
      </c>
      <c r="E72" s="20" t="s">
        <v>34</v>
      </c>
      <c r="F72" s="20" t="s">
        <v>560</v>
      </c>
      <c r="G72" s="29">
        <v>30</v>
      </c>
      <c r="H72" s="29">
        <f t="shared" si="2"/>
        <v>0.5</v>
      </c>
      <c r="I72" s="20" t="s">
        <v>396</v>
      </c>
      <c r="J72" s="20" t="s">
        <v>454</v>
      </c>
      <c r="K72" s="20" t="s">
        <v>687</v>
      </c>
      <c r="L72" s="20" t="s">
        <v>511</v>
      </c>
      <c r="M72" s="20" t="s">
        <v>688</v>
      </c>
      <c r="N72" s="20" t="s">
        <v>401</v>
      </c>
      <c r="O72" s="20"/>
      <c r="P72" s="21"/>
    </row>
    <row r="73" spans="1:16" ht="32" customHeight="1" x14ac:dyDescent="0.35">
      <c r="A73" s="26">
        <v>46184</v>
      </c>
      <c r="B73" s="20" t="s">
        <v>62</v>
      </c>
      <c r="C73" s="20">
        <v>6</v>
      </c>
      <c r="D73" s="20" t="s">
        <v>673</v>
      </c>
      <c r="E73" s="20" t="s">
        <v>53</v>
      </c>
      <c r="F73" s="20" t="s">
        <v>689</v>
      </c>
      <c r="G73" s="29">
        <v>85</v>
      </c>
      <c r="H73" s="29">
        <f t="shared" si="2"/>
        <v>1.4166666666666667</v>
      </c>
      <c r="I73" s="20" t="s">
        <v>396</v>
      </c>
      <c r="J73" s="20" t="s">
        <v>690</v>
      </c>
      <c r="K73" s="20" t="s">
        <v>691</v>
      </c>
      <c r="L73" s="20" t="s">
        <v>652</v>
      </c>
      <c r="M73" s="20" t="s">
        <v>692</v>
      </c>
      <c r="N73" s="20" t="s">
        <v>401</v>
      </c>
      <c r="O73" s="20"/>
      <c r="P73" s="21"/>
    </row>
    <row r="74" spans="1:16" ht="32" customHeight="1" x14ac:dyDescent="0.35">
      <c r="A74" s="26">
        <v>46184</v>
      </c>
      <c r="B74" s="20" t="s">
        <v>62</v>
      </c>
      <c r="C74" s="20">
        <v>6</v>
      </c>
      <c r="D74" s="20" t="s">
        <v>673</v>
      </c>
      <c r="E74" s="20" t="s">
        <v>39</v>
      </c>
      <c r="F74" s="20" t="s">
        <v>486</v>
      </c>
      <c r="G74" s="29">
        <v>25</v>
      </c>
      <c r="H74" s="29">
        <f t="shared" si="2"/>
        <v>0.41666666666666669</v>
      </c>
      <c r="I74" s="20" t="s">
        <v>627</v>
      </c>
      <c r="J74" s="20" t="s">
        <v>42</v>
      </c>
      <c r="K74" s="20" t="s">
        <v>693</v>
      </c>
      <c r="L74" s="20" t="s">
        <v>694</v>
      </c>
      <c r="M74" s="20" t="s">
        <v>695</v>
      </c>
      <c r="N74" s="20" t="s">
        <v>401</v>
      </c>
      <c r="O74" s="20"/>
      <c r="P74" s="21"/>
    </row>
    <row r="75" spans="1:16" ht="32" customHeight="1" x14ac:dyDescent="0.35">
      <c r="A75" s="26">
        <v>46185</v>
      </c>
      <c r="B75" s="20" t="s">
        <v>66</v>
      </c>
      <c r="C75" s="20">
        <v>6</v>
      </c>
      <c r="D75" s="20" t="s">
        <v>673</v>
      </c>
      <c r="E75" s="20" t="s">
        <v>46</v>
      </c>
      <c r="F75" s="20" t="s">
        <v>696</v>
      </c>
      <c r="G75" s="29">
        <v>55</v>
      </c>
      <c r="H75" s="29">
        <f t="shared" si="2"/>
        <v>0.91666666666666663</v>
      </c>
      <c r="I75" s="20" t="s">
        <v>593</v>
      </c>
      <c r="J75" s="20" t="s">
        <v>42</v>
      </c>
      <c r="K75" s="20" t="s">
        <v>697</v>
      </c>
      <c r="L75" s="20" t="s">
        <v>396</v>
      </c>
      <c r="M75" s="20" t="s">
        <v>698</v>
      </c>
      <c r="N75" s="20" t="s">
        <v>401</v>
      </c>
      <c r="O75" s="20"/>
      <c r="P75" s="21"/>
    </row>
    <row r="76" spans="1:16" ht="32" customHeight="1" x14ac:dyDescent="0.35">
      <c r="A76" s="26">
        <v>46186</v>
      </c>
      <c r="B76" s="20" t="s">
        <v>73</v>
      </c>
      <c r="C76" s="20">
        <v>6</v>
      </c>
      <c r="D76" s="20" t="s">
        <v>673</v>
      </c>
      <c r="E76" s="20" t="s">
        <v>39</v>
      </c>
      <c r="F76" s="20" t="s">
        <v>475</v>
      </c>
      <c r="G76" s="29">
        <v>85</v>
      </c>
      <c r="H76" s="29">
        <f t="shared" si="2"/>
        <v>1.4166666666666667</v>
      </c>
      <c r="I76" s="20" t="s">
        <v>662</v>
      </c>
      <c r="J76" s="20" t="s">
        <v>42</v>
      </c>
      <c r="K76" s="20" t="s">
        <v>699</v>
      </c>
      <c r="L76" s="20" t="s">
        <v>598</v>
      </c>
      <c r="M76" s="20" t="s">
        <v>700</v>
      </c>
      <c r="N76" s="20" t="s">
        <v>401</v>
      </c>
      <c r="O76" s="20"/>
      <c r="P76" s="21"/>
    </row>
    <row r="77" spans="1:16" ht="32" customHeight="1" x14ac:dyDescent="0.35">
      <c r="A77" s="26">
        <v>46187</v>
      </c>
      <c r="B77" s="20" t="s">
        <v>77</v>
      </c>
      <c r="C77" s="20">
        <v>6</v>
      </c>
      <c r="D77" s="20" t="s">
        <v>673</v>
      </c>
      <c r="E77" s="20" t="s">
        <v>53</v>
      </c>
      <c r="F77" s="20" t="s">
        <v>701</v>
      </c>
      <c r="G77" s="29">
        <v>160</v>
      </c>
      <c r="H77" s="29">
        <f t="shared" si="2"/>
        <v>2.6666666666666665</v>
      </c>
      <c r="I77" s="20" t="s">
        <v>622</v>
      </c>
      <c r="J77" s="20" t="s">
        <v>702</v>
      </c>
      <c r="K77" s="20" t="s">
        <v>703</v>
      </c>
      <c r="L77" s="20" t="s">
        <v>704</v>
      </c>
      <c r="M77" s="20" t="s">
        <v>705</v>
      </c>
      <c r="N77" s="20" t="s">
        <v>401</v>
      </c>
      <c r="O77" s="20"/>
      <c r="P77" s="21"/>
    </row>
    <row r="78" spans="1:16" ht="32" customHeight="1" x14ac:dyDescent="0.35">
      <c r="A78" s="26">
        <v>46187</v>
      </c>
      <c r="B78" s="20" t="s">
        <v>77</v>
      </c>
      <c r="C78" s="20">
        <v>6</v>
      </c>
      <c r="D78" s="20" t="s">
        <v>673</v>
      </c>
      <c r="E78" s="20" t="s">
        <v>39</v>
      </c>
      <c r="F78" s="20" t="s">
        <v>486</v>
      </c>
      <c r="G78" s="29">
        <v>20</v>
      </c>
      <c r="H78" s="29">
        <f t="shared" si="2"/>
        <v>0.33333333333333331</v>
      </c>
      <c r="I78" s="20" t="s">
        <v>519</v>
      </c>
      <c r="J78" s="20" t="s">
        <v>42</v>
      </c>
      <c r="K78" s="20" t="s">
        <v>706</v>
      </c>
      <c r="L78" s="20" t="s">
        <v>671</v>
      </c>
      <c r="M78" s="20" t="s">
        <v>707</v>
      </c>
      <c r="N78" s="20" t="s">
        <v>401</v>
      </c>
      <c r="O78" s="20"/>
      <c r="P78" s="21"/>
    </row>
    <row r="79" spans="1:16" ht="32" customHeight="1" x14ac:dyDescent="0.35">
      <c r="A79" s="26">
        <v>46188</v>
      </c>
      <c r="B79" s="20" t="s">
        <v>32</v>
      </c>
      <c r="C79" s="20">
        <v>7</v>
      </c>
      <c r="D79" s="20" t="s">
        <v>190</v>
      </c>
      <c r="E79" s="20" t="s">
        <v>301</v>
      </c>
      <c r="F79" s="20" t="s">
        <v>435</v>
      </c>
      <c r="G79" s="29">
        <v>20</v>
      </c>
      <c r="H79" s="29">
        <f t="shared" si="2"/>
        <v>0.33333333333333331</v>
      </c>
      <c r="I79" s="20" t="s">
        <v>396</v>
      </c>
      <c r="J79" s="20" t="s">
        <v>161</v>
      </c>
      <c r="K79" s="20" t="s">
        <v>708</v>
      </c>
      <c r="L79" s="20" t="s">
        <v>396</v>
      </c>
      <c r="M79" s="20" t="s">
        <v>709</v>
      </c>
      <c r="N79" s="20" t="s">
        <v>401</v>
      </c>
      <c r="O79" s="20"/>
      <c r="P79" s="21"/>
    </row>
    <row r="80" spans="1:16" ht="32" customHeight="1" x14ac:dyDescent="0.35">
      <c r="A80" s="26">
        <v>46189</v>
      </c>
      <c r="B80" s="20" t="s">
        <v>45</v>
      </c>
      <c r="C80" s="20">
        <v>7</v>
      </c>
      <c r="D80" s="20" t="s">
        <v>190</v>
      </c>
      <c r="E80" s="20" t="s">
        <v>46</v>
      </c>
      <c r="F80" s="20" t="s">
        <v>546</v>
      </c>
      <c r="G80" s="29">
        <v>45</v>
      </c>
      <c r="H80" s="29">
        <f t="shared" si="2"/>
        <v>0.75</v>
      </c>
      <c r="I80" s="20" t="s">
        <v>710</v>
      </c>
      <c r="J80" s="20" t="s">
        <v>95</v>
      </c>
      <c r="K80" s="20" t="s">
        <v>711</v>
      </c>
      <c r="L80" s="20" t="s">
        <v>396</v>
      </c>
      <c r="M80" s="20" t="s">
        <v>712</v>
      </c>
      <c r="N80" s="20" t="s">
        <v>401</v>
      </c>
      <c r="O80" s="20"/>
      <c r="P80" s="21"/>
    </row>
    <row r="81" spans="1:16" ht="32" customHeight="1" x14ac:dyDescent="0.35">
      <c r="A81" s="26">
        <v>46189</v>
      </c>
      <c r="B81" s="20" t="s">
        <v>45</v>
      </c>
      <c r="C81" s="20">
        <v>7</v>
      </c>
      <c r="D81" s="20" t="s">
        <v>190</v>
      </c>
      <c r="E81" s="20" t="s">
        <v>53</v>
      </c>
      <c r="F81" s="20" t="s">
        <v>550</v>
      </c>
      <c r="G81" s="29">
        <v>45</v>
      </c>
      <c r="H81" s="29">
        <f t="shared" si="2"/>
        <v>0.75</v>
      </c>
      <c r="I81" s="20" t="s">
        <v>396</v>
      </c>
      <c r="J81" s="20" t="s">
        <v>95</v>
      </c>
      <c r="K81" s="20" t="s">
        <v>713</v>
      </c>
      <c r="L81" s="20" t="s">
        <v>714</v>
      </c>
      <c r="M81" s="20" t="s">
        <v>715</v>
      </c>
      <c r="N81" s="20" t="s">
        <v>401</v>
      </c>
      <c r="O81" s="20"/>
      <c r="P81" s="21"/>
    </row>
    <row r="82" spans="1:16" ht="32" customHeight="1" x14ac:dyDescent="0.35">
      <c r="A82" s="26">
        <v>46190</v>
      </c>
      <c r="B82" s="20" t="s">
        <v>57</v>
      </c>
      <c r="C82" s="20">
        <v>7</v>
      </c>
      <c r="D82" s="20" t="s">
        <v>190</v>
      </c>
      <c r="E82" s="20" t="s">
        <v>39</v>
      </c>
      <c r="F82" s="20" t="s">
        <v>716</v>
      </c>
      <c r="G82" s="29">
        <v>55</v>
      </c>
      <c r="H82" s="29">
        <f t="shared" si="2"/>
        <v>0.91666666666666663</v>
      </c>
      <c r="I82" s="20" t="s">
        <v>717</v>
      </c>
      <c r="J82" s="20" t="s">
        <v>42</v>
      </c>
      <c r="K82" s="20" t="s">
        <v>718</v>
      </c>
      <c r="L82" s="20" t="s">
        <v>396</v>
      </c>
      <c r="M82" s="20" t="s">
        <v>579</v>
      </c>
      <c r="N82" s="20" t="s">
        <v>401</v>
      </c>
      <c r="O82" s="20"/>
      <c r="P82" s="21"/>
    </row>
    <row r="83" spans="1:16" ht="32" customHeight="1" x14ac:dyDescent="0.35">
      <c r="A83" s="26">
        <v>46190</v>
      </c>
      <c r="B83" s="20" t="s">
        <v>57</v>
      </c>
      <c r="C83" s="20">
        <v>7</v>
      </c>
      <c r="D83" s="20" t="s">
        <v>190</v>
      </c>
      <c r="E83" s="20" t="s">
        <v>34</v>
      </c>
      <c r="F83" s="20" t="s">
        <v>719</v>
      </c>
      <c r="G83" s="29">
        <v>30</v>
      </c>
      <c r="H83" s="29">
        <f t="shared" si="2"/>
        <v>0.5</v>
      </c>
      <c r="I83" s="20" t="s">
        <v>396</v>
      </c>
      <c r="J83" s="20" t="s">
        <v>413</v>
      </c>
      <c r="K83" s="20" t="s">
        <v>720</v>
      </c>
      <c r="L83" s="20" t="s">
        <v>511</v>
      </c>
      <c r="M83" s="20" t="s">
        <v>721</v>
      </c>
      <c r="N83" s="20" t="s">
        <v>401</v>
      </c>
      <c r="O83" s="20"/>
      <c r="P83" s="21"/>
    </row>
    <row r="84" spans="1:16" ht="32" customHeight="1" x14ac:dyDescent="0.35">
      <c r="A84" s="26">
        <v>46191</v>
      </c>
      <c r="B84" s="20" t="s">
        <v>62</v>
      </c>
      <c r="C84" s="20">
        <v>7</v>
      </c>
      <c r="D84" s="20" t="s">
        <v>190</v>
      </c>
      <c r="E84" s="20" t="s">
        <v>53</v>
      </c>
      <c r="F84" s="20" t="s">
        <v>722</v>
      </c>
      <c r="G84" s="29">
        <v>60</v>
      </c>
      <c r="H84" s="29">
        <f t="shared" si="2"/>
        <v>1</v>
      </c>
      <c r="I84" s="20" t="s">
        <v>396</v>
      </c>
      <c r="J84" s="20" t="s">
        <v>723</v>
      </c>
      <c r="K84" s="20" t="s">
        <v>724</v>
      </c>
      <c r="L84" s="20" t="s">
        <v>598</v>
      </c>
      <c r="M84" s="20" t="s">
        <v>725</v>
      </c>
      <c r="N84" s="20" t="s">
        <v>401</v>
      </c>
      <c r="O84" s="20"/>
      <c r="P84" s="21"/>
    </row>
    <row r="85" spans="1:16" ht="32" customHeight="1" x14ac:dyDescent="0.35">
      <c r="A85" s="26">
        <v>46191</v>
      </c>
      <c r="B85" s="20" t="s">
        <v>62</v>
      </c>
      <c r="C85" s="20">
        <v>7</v>
      </c>
      <c r="D85" s="20" t="s">
        <v>190</v>
      </c>
      <c r="E85" s="20" t="s">
        <v>39</v>
      </c>
      <c r="F85" s="20" t="s">
        <v>726</v>
      </c>
      <c r="G85" s="29">
        <v>15</v>
      </c>
      <c r="H85" s="29">
        <f t="shared" si="2"/>
        <v>0.25</v>
      </c>
      <c r="I85" s="20" t="s">
        <v>430</v>
      </c>
      <c r="J85" s="20" t="s">
        <v>95</v>
      </c>
      <c r="K85" s="20" t="s">
        <v>103</v>
      </c>
      <c r="L85" s="20" t="s">
        <v>396</v>
      </c>
      <c r="M85" s="20" t="s">
        <v>615</v>
      </c>
      <c r="N85" s="20" t="s">
        <v>401</v>
      </c>
      <c r="O85" s="20"/>
      <c r="P85" s="21"/>
    </row>
    <row r="86" spans="1:16" ht="32" customHeight="1" x14ac:dyDescent="0.35">
      <c r="A86" s="26">
        <v>46192</v>
      </c>
      <c r="B86" s="20" t="s">
        <v>66</v>
      </c>
      <c r="C86" s="20">
        <v>7</v>
      </c>
      <c r="D86" s="20" t="s">
        <v>190</v>
      </c>
      <c r="E86" s="20" t="s">
        <v>46</v>
      </c>
      <c r="F86" s="20" t="s">
        <v>571</v>
      </c>
      <c r="G86" s="29">
        <v>45</v>
      </c>
      <c r="H86" s="29">
        <f t="shared" si="2"/>
        <v>0.75</v>
      </c>
      <c r="I86" s="20" t="s">
        <v>547</v>
      </c>
      <c r="J86" s="20" t="s">
        <v>95</v>
      </c>
      <c r="K86" s="20" t="s">
        <v>727</v>
      </c>
      <c r="L86" s="20" t="s">
        <v>396</v>
      </c>
      <c r="M86" s="20" t="s">
        <v>545</v>
      </c>
      <c r="N86" s="20" t="s">
        <v>401</v>
      </c>
      <c r="O86" s="20"/>
      <c r="P86" s="21"/>
    </row>
    <row r="87" spans="1:16" ht="32" customHeight="1" x14ac:dyDescent="0.35">
      <c r="A87" s="26">
        <v>46193</v>
      </c>
      <c r="B87" s="20" t="s">
        <v>73</v>
      </c>
      <c r="C87" s="20">
        <v>7</v>
      </c>
      <c r="D87" s="20" t="s">
        <v>190</v>
      </c>
      <c r="E87" s="20" t="s">
        <v>39</v>
      </c>
      <c r="F87" s="20" t="s">
        <v>575</v>
      </c>
      <c r="G87" s="29">
        <v>65</v>
      </c>
      <c r="H87" s="29">
        <f t="shared" si="2"/>
        <v>1.0833333333333333</v>
      </c>
      <c r="I87" s="20" t="s">
        <v>601</v>
      </c>
      <c r="J87" s="20" t="s">
        <v>42</v>
      </c>
      <c r="K87" s="20" t="s">
        <v>728</v>
      </c>
      <c r="L87" s="20" t="s">
        <v>729</v>
      </c>
      <c r="M87" s="20" t="s">
        <v>730</v>
      </c>
      <c r="N87" s="20" t="s">
        <v>401</v>
      </c>
      <c r="O87" s="20"/>
      <c r="P87" s="21"/>
    </row>
    <row r="88" spans="1:16" ht="32" customHeight="1" x14ac:dyDescent="0.35">
      <c r="A88" s="26">
        <v>46194</v>
      </c>
      <c r="B88" s="20" t="s">
        <v>77</v>
      </c>
      <c r="C88" s="20">
        <v>7</v>
      </c>
      <c r="D88" s="20" t="s">
        <v>190</v>
      </c>
      <c r="E88" s="20" t="s">
        <v>53</v>
      </c>
      <c r="F88" s="20" t="s">
        <v>169</v>
      </c>
      <c r="G88" s="29">
        <v>115</v>
      </c>
      <c r="H88" s="29">
        <f t="shared" si="2"/>
        <v>1.9166666666666667</v>
      </c>
      <c r="I88" s="20" t="s">
        <v>731</v>
      </c>
      <c r="J88" s="20" t="s">
        <v>42</v>
      </c>
      <c r="K88" s="20" t="s">
        <v>732</v>
      </c>
      <c r="L88" s="20" t="s">
        <v>516</v>
      </c>
      <c r="M88" s="20" t="s">
        <v>554</v>
      </c>
      <c r="N88" s="20" t="s">
        <v>401</v>
      </c>
      <c r="O88" s="20"/>
      <c r="P88" s="21"/>
    </row>
    <row r="89" spans="1:16" ht="32" customHeight="1" x14ac:dyDescent="0.35">
      <c r="A89" s="26">
        <v>46194</v>
      </c>
      <c r="B89" s="20" t="s">
        <v>77</v>
      </c>
      <c r="C89" s="20">
        <v>7</v>
      </c>
      <c r="D89" s="20" t="s">
        <v>190</v>
      </c>
      <c r="E89" s="20" t="s">
        <v>39</v>
      </c>
      <c r="F89" s="20" t="s">
        <v>733</v>
      </c>
      <c r="G89" s="29">
        <v>10</v>
      </c>
      <c r="H89" s="29">
        <f t="shared" si="2"/>
        <v>0.16666666666666666</v>
      </c>
      <c r="I89" s="20" t="s">
        <v>585</v>
      </c>
      <c r="J89" s="20" t="s">
        <v>315</v>
      </c>
      <c r="K89" s="20" t="s">
        <v>734</v>
      </c>
      <c r="L89" s="20" t="s">
        <v>396</v>
      </c>
      <c r="M89" s="20" t="s">
        <v>735</v>
      </c>
      <c r="N89" s="20" t="s">
        <v>401</v>
      </c>
      <c r="O89" s="20"/>
      <c r="P89" s="21"/>
    </row>
    <row r="90" spans="1:16" ht="32" customHeight="1" x14ac:dyDescent="0.35">
      <c r="A90" s="26">
        <v>46195</v>
      </c>
      <c r="B90" s="20" t="s">
        <v>32</v>
      </c>
      <c r="C90" s="20">
        <v>8</v>
      </c>
      <c r="D90" s="20" t="s">
        <v>736</v>
      </c>
      <c r="E90" s="20" t="s">
        <v>301</v>
      </c>
      <c r="F90" s="20" t="s">
        <v>435</v>
      </c>
      <c r="G90" s="29">
        <v>15</v>
      </c>
      <c r="H90" s="29">
        <f t="shared" si="2"/>
        <v>0.25</v>
      </c>
      <c r="I90" s="20" t="s">
        <v>396</v>
      </c>
      <c r="J90" s="20" t="s">
        <v>161</v>
      </c>
      <c r="K90" s="20" t="s">
        <v>589</v>
      </c>
      <c r="L90" s="20" t="s">
        <v>396</v>
      </c>
      <c r="M90" s="20" t="s">
        <v>737</v>
      </c>
      <c r="N90" s="20" t="s">
        <v>401</v>
      </c>
      <c r="O90" s="20"/>
      <c r="P90" s="21"/>
    </row>
    <row r="91" spans="1:16" ht="32" customHeight="1" x14ac:dyDescent="0.35">
      <c r="A91" s="26">
        <v>46196</v>
      </c>
      <c r="B91" s="20" t="s">
        <v>45</v>
      </c>
      <c r="C91" s="20">
        <v>8</v>
      </c>
      <c r="D91" s="20" t="s">
        <v>736</v>
      </c>
      <c r="E91" s="20" t="s">
        <v>46</v>
      </c>
      <c r="F91" s="20" t="s">
        <v>738</v>
      </c>
      <c r="G91" s="29">
        <v>60</v>
      </c>
      <c r="H91" s="29">
        <f t="shared" si="2"/>
        <v>1</v>
      </c>
      <c r="I91" s="20" t="s">
        <v>739</v>
      </c>
      <c r="J91" s="20" t="s">
        <v>677</v>
      </c>
      <c r="K91" s="20" t="s">
        <v>740</v>
      </c>
      <c r="L91" s="20" t="s">
        <v>396</v>
      </c>
      <c r="M91" s="20" t="s">
        <v>741</v>
      </c>
      <c r="N91" s="20" t="s">
        <v>401</v>
      </c>
      <c r="O91" s="20"/>
      <c r="P91" s="21"/>
    </row>
    <row r="92" spans="1:16" ht="32" customHeight="1" x14ac:dyDescent="0.35">
      <c r="A92" s="26">
        <v>46196</v>
      </c>
      <c r="B92" s="20" t="s">
        <v>45</v>
      </c>
      <c r="C92" s="20">
        <v>8</v>
      </c>
      <c r="D92" s="20" t="s">
        <v>736</v>
      </c>
      <c r="E92" s="20" t="s">
        <v>53</v>
      </c>
      <c r="F92" s="20" t="s">
        <v>742</v>
      </c>
      <c r="G92" s="29">
        <v>50</v>
      </c>
      <c r="H92" s="29">
        <f t="shared" si="2"/>
        <v>0.83333333333333337</v>
      </c>
      <c r="I92" s="20" t="s">
        <v>396</v>
      </c>
      <c r="J92" s="20" t="s">
        <v>42</v>
      </c>
      <c r="K92" s="20" t="s">
        <v>743</v>
      </c>
      <c r="L92" s="20" t="s">
        <v>598</v>
      </c>
      <c r="M92" s="20" t="s">
        <v>744</v>
      </c>
      <c r="N92" s="20" t="s">
        <v>401</v>
      </c>
      <c r="O92" s="20"/>
      <c r="P92" s="21"/>
    </row>
    <row r="93" spans="1:16" ht="32" customHeight="1" x14ac:dyDescent="0.35">
      <c r="A93" s="26">
        <v>46197</v>
      </c>
      <c r="B93" s="20" t="s">
        <v>57</v>
      </c>
      <c r="C93" s="20">
        <v>8</v>
      </c>
      <c r="D93" s="20" t="s">
        <v>736</v>
      </c>
      <c r="E93" s="20" t="s">
        <v>39</v>
      </c>
      <c r="F93" s="20" t="s">
        <v>745</v>
      </c>
      <c r="G93" s="29">
        <v>65</v>
      </c>
      <c r="H93" s="29">
        <f t="shared" si="2"/>
        <v>1.0833333333333333</v>
      </c>
      <c r="I93" s="20" t="s">
        <v>601</v>
      </c>
      <c r="J93" s="20" t="s">
        <v>113</v>
      </c>
      <c r="K93" s="20" t="s">
        <v>746</v>
      </c>
      <c r="L93" s="20" t="s">
        <v>685</v>
      </c>
      <c r="M93" s="20" t="s">
        <v>747</v>
      </c>
      <c r="N93" s="20" t="s">
        <v>401</v>
      </c>
      <c r="O93" s="20"/>
      <c r="P93" s="21"/>
    </row>
    <row r="94" spans="1:16" ht="32" customHeight="1" x14ac:dyDescent="0.35">
      <c r="A94" s="26">
        <v>46197</v>
      </c>
      <c r="B94" s="20" t="s">
        <v>57</v>
      </c>
      <c r="C94" s="20">
        <v>8</v>
      </c>
      <c r="D94" s="20" t="s">
        <v>736</v>
      </c>
      <c r="E94" s="20" t="s">
        <v>34</v>
      </c>
      <c r="F94" s="20" t="s">
        <v>560</v>
      </c>
      <c r="G94" s="29">
        <v>30</v>
      </c>
      <c r="H94" s="29">
        <f t="shared" si="2"/>
        <v>0.5</v>
      </c>
      <c r="I94" s="20" t="s">
        <v>396</v>
      </c>
      <c r="J94" s="20" t="s">
        <v>748</v>
      </c>
      <c r="K94" s="20" t="s">
        <v>749</v>
      </c>
      <c r="L94" s="20" t="s">
        <v>511</v>
      </c>
      <c r="M94" s="20" t="s">
        <v>750</v>
      </c>
      <c r="N94" s="20" t="s">
        <v>401</v>
      </c>
      <c r="O94" s="20"/>
      <c r="P94" s="21"/>
    </row>
    <row r="95" spans="1:16" ht="32" customHeight="1" x14ac:dyDescent="0.35">
      <c r="A95" s="26">
        <v>46198</v>
      </c>
      <c r="B95" s="20" t="s">
        <v>62</v>
      </c>
      <c r="C95" s="20">
        <v>8</v>
      </c>
      <c r="D95" s="20" t="s">
        <v>736</v>
      </c>
      <c r="E95" s="20" t="s">
        <v>53</v>
      </c>
      <c r="F95" s="20" t="s">
        <v>751</v>
      </c>
      <c r="G95" s="29">
        <v>80</v>
      </c>
      <c r="H95" s="29">
        <f t="shared" si="2"/>
        <v>1.3333333333333333</v>
      </c>
      <c r="I95" s="20" t="s">
        <v>396</v>
      </c>
      <c r="J95" s="20" t="s">
        <v>752</v>
      </c>
      <c r="K95" s="20" t="s">
        <v>753</v>
      </c>
      <c r="L95" s="20" t="s">
        <v>754</v>
      </c>
      <c r="M95" s="20" t="s">
        <v>755</v>
      </c>
      <c r="N95" s="20" t="s">
        <v>401</v>
      </c>
      <c r="O95" s="20"/>
      <c r="P95" s="21"/>
    </row>
    <row r="96" spans="1:16" ht="32" customHeight="1" x14ac:dyDescent="0.35">
      <c r="A96" s="26">
        <v>46198</v>
      </c>
      <c r="B96" s="20" t="s">
        <v>62</v>
      </c>
      <c r="C96" s="20">
        <v>8</v>
      </c>
      <c r="D96" s="20" t="s">
        <v>736</v>
      </c>
      <c r="E96" s="20" t="s">
        <v>39</v>
      </c>
      <c r="F96" s="20" t="s">
        <v>756</v>
      </c>
      <c r="G96" s="29">
        <v>25</v>
      </c>
      <c r="H96" s="29">
        <f t="shared" si="2"/>
        <v>0.41666666666666669</v>
      </c>
      <c r="I96" s="20" t="s">
        <v>627</v>
      </c>
      <c r="J96" s="20" t="s">
        <v>757</v>
      </c>
      <c r="K96" s="20" t="s">
        <v>758</v>
      </c>
      <c r="L96" s="20" t="s">
        <v>759</v>
      </c>
      <c r="M96" s="20" t="s">
        <v>760</v>
      </c>
      <c r="N96" s="20" t="s">
        <v>401</v>
      </c>
      <c r="O96" s="20"/>
      <c r="P96" s="21"/>
    </row>
    <row r="97" spans="1:16" ht="32" customHeight="1" x14ac:dyDescent="0.35">
      <c r="A97" s="26">
        <v>46199</v>
      </c>
      <c r="B97" s="20" t="s">
        <v>66</v>
      </c>
      <c r="C97" s="20">
        <v>8</v>
      </c>
      <c r="D97" s="20" t="s">
        <v>736</v>
      </c>
      <c r="E97" s="20" t="s">
        <v>46</v>
      </c>
      <c r="F97" s="20" t="s">
        <v>696</v>
      </c>
      <c r="G97" s="29">
        <v>55</v>
      </c>
      <c r="H97" s="29">
        <f t="shared" si="2"/>
        <v>0.91666666666666663</v>
      </c>
      <c r="I97" s="20" t="s">
        <v>761</v>
      </c>
      <c r="J97" s="20" t="s">
        <v>42</v>
      </c>
      <c r="K97" s="20" t="s">
        <v>762</v>
      </c>
      <c r="L97" s="20" t="s">
        <v>396</v>
      </c>
      <c r="M97" s="20" t="s">
        <v>763</v>
      </c>
      <c r="N97" s="20" t="s">
        <v>401</v>
      </c>
      <c r="O97" s="20"/>
      <c r="P97" s="21"/>
    </row>
    <row r="98" spans="1:16" ht="32" customHeight="1" x14ac:dyDescent="0.35">
      <c r="A98" s="26">
        <v>46200</v>
      </c>
      <c r="B98" s="20" t="s">
        <v>73</v>
      </c>
      <c r="C98" s="20">
        <v>8</v>
      </c>
      <c r="D98" s="20" t="s">
        <v>736</v>
      </c>
      <c r="E98" s="20" t="s">
        <v>39</v>
      </c>
      <c r="F98" s="20" t="s">
        <v>764</v>
      </c>
      <c r="G98" s="29">
        <v>90</v>
      </c>
      <c r="H98" s="29">
        <f t="shared" si="2"/>
        <v>1.5</v>
      </c>
      <c r="I98" s="20" t="s">
        <v>765</v>
      </c>
      <c r="J98" s="20" t="s">
        <v>766</v>
      </c>
      <c r="K98" s="20" t="s">
        <v>767</v>
      </c>
      <c r="L98" s="20" t="s">
        <v>461</v>
      </c>
      <c r="M98" s="20" t="s">
        <v>768</v>
      </c>
      <c r="N98" s="20" t="s">
        <v>401</v>
      </c>
      <c r="O98" s="20"/>
      <c r="P98" s="21"/>
    </row>
    <row r="99" spans="1:16" ht="32" customHeight="1" x14ac:dyDescent="0.35">
      <c r="A99" s="26">
        <v>46201</v>
      </c>
      <c r="B99" s="20" t="s">
        <v>77</v>
      </c>
      <c r="C99" s="20">
        <v>8</v>
      </c>
      <c r="D99" s="20" t="s">
        <v>736</v>
      </c>
      <c r="E99" s="20" t="s">
        <v>53</v>
      </c>
      <c r="F99" s="20" t="s">
        <v>769</v>
      </c>
      <c r="G99" s="29">
        <v>160</v>
      </c>
      <c r="H99" s="29">
        <f t="shared" si="2"/>
        <v>2.6666666666666665</v>
      </c>
      <c r="I99" s="20" t="s">
        <v>770</v>
      </c>
      <c r="J99" s="20" t="s">
        <v>771</v>
      </c>
      <c r="K99" s="20" t="s">
        <v>772</v>
      </c>
      <c r="L99" s="20" t="s">
        <v>773</v>
      </c>
      <c r="M99" s="20" t="s">
        <v>774</v>
      </c>
      <c r="N99" s="20" t="s">
        <v>401</v>
      </c>
      <c r="O99" s="20"/>
      <c r="P99" s="21"/>
    </row>
    <row r="100" spans="1:16" ht="32" customHeight="1" x14ac:dyDescent="0.35">
      <c r="A100" s="26">
        <v>46201</v>
      </c>
      <c r="B100" s="20" t="s">
        <v>77</v>
      </c>
      <c r="C100" s="20">
        <v>8</v>
      </c>
      <c r="D100" s="20" t="s">
        <v>736</v>
      </c>
      <c r="E100" s="20" t="s">
        <v>39</v>
      </c>
      <c r="F100" s="20" t="s">
        <v>486</v>
      </c>
      <c r="G100" s="29">
        <v>20</v>
      </c>
      <c r="H100" s="29">
        <f t="shared" si="2"/>
        <v>0.33333333333333331</v>
      </c>
      <c r="I100" s="20" t="s">
        <v>519</v>
      </c>
      <c r="J100" s="20" t="s">
        <v>42</v>
      </c>
      <c r="K100" s="20" t="s">
        <v>775</v>
      </c>
      <c r="L100" s="20" t="s">
        <v>671</v>
      </c>
      <c r="M100" s="20" t="s">
        <v>776</v>
      </c>
      <c r="N100" s="20" t="s">
        <v>401</v>
      </c>
      <c r="O100" s="20"/>
      <c r="P100" s="21"/>
    </row>
    <row r="101" spans="1:16" ht="32" customHeight="1" x14ac:dyDescent="0.35">
      <c r="A101" s="26">
        <v>46202</v>
      </c>
      <c r="B101" s="20" t="s">
        <v>32</v>
      </c>
      <c r="C101" s="20">
        <v>9</v>
      </c>
      <c r="D101" s="20" t="s">
        <v>777</v>
      </c>
      <c r="E101" s="20" t="s">
        <v>301</v>
      </c>
      <c r="F101" s="20" t="s">
        <v>435</v>
      </c>
      <c r="G101" s="29">
        <v>20</v>
      </c>
      <c r="H101" s="29">
        <f t="shared" ref="H101:H132" si="3">G101/60</f>
        <v>0.33333333333333331</v>
      </c>
      <c r="I101" s="20" t="s">
        <v>396</v>
      </c>
      <c r="J101" s="20" t="s">
        <v>161</v>
      </c>
      <c r="K101" s="20" t="s">
        <v>778</v>
      </c>
      <c r="L101" s="20" t="s">
        <v>396</v>
      </c>
      <c r="M101" s="20" t="s">
        <v>633</v>
      </c>
      <c r="N101" s="20" t="s">
        <v>401</v>
      </c>
      <c r="O101" s="20"/>
      <c r="P101" s="21"/>
    </row>
    <row r="102" spans="1:16" ht="32" customHeight="1" x14ac:dyDescent="0.35">
      <c r="A102" s="26">
        <v>46203</v>
      </c>
      <c r="B102" s="20" t="s">
        <v>45</v>
      </c>
      <c r="C102" s="20">
        <v>9</v>
      </c>
      <c r="D102" s="20" t="s">
        <v>777</v>
      </c>
      <c r="E102" s="20" t="s">
        <v>46</v>
      </c>
      <c r="F102" s="20" t="s">
        <v>779</v>
      </c>
      <c r="G102" s="29">
        <v>55</v>
      </c>
      <c r="H102" s="29">
        <f t="shared" si="3"/>
        <v>0.91666666666666663</v>
      </c>
      <c r="I102" s="20" t="s">
        <v>780</v>
      </c>
      <c r="J102" s="20" t="s">
        <v>781</v>
      </c>
      <c r="K102" s="20" t="s">
        <v>782</v>
      </c>
      <c r="L102" s="20" t="s">
        <v>396</v>
      </c>
      <c r="M102" s="20" t="s">
        <v>783</v>
      </c>
      <c r="N102" s="20" t="s">
        <v>401</v>
      </c>
      <c r="O102" s="20"/>
      <c r="P102" s="21"/>
    </row>
    <row r="103" spans="1:16" ht="32" customHeight="1" x14ac:dyDescent="0.35">
      <c r="A103" s="26">
        <v>46203</v>
      </c>
      <c r="B103" s="20" t="s">
        <v>45</v>
      </c>
      <c r="C103" s="20">
        <v>9</v>
      </c>
      <c r="D103" s="20" t="s">
        <v>777</v>
      </c>
      <c r="E103" s="20" t="s">
        <v>53</v>
      </c>
      <c r="F103" s="20" t="s">
        <v>784</v>
      </c>
      <c r="G103" s="29">
        <v>55</v>
      </c>
      <c r="H103" s="29">
        <f t="shared" si="3"/>
        <v>0.91666666666666663</v>
      </c>
      <c r="I103" s="20" t="s">
        <v>396</v>
      </c>
      <c r="J103" s="20" t="s">
        <v>42</v>
      </c>
      <c r="K103" s="20" t="s">
        <v>785</v>
      </c>
      <c r="L103" s="20" t="s">
        <v>598</v>
      </c>
      <c r="M103" s="20" t="s">
        <v>786</v>
      </c>
      <c r="N103" s="20" t="s">
        <v>401</v>
      </c>
      <c r="O103" s="20"/>
      <c r="P103" s="21"/>
    </row>
    <row r="104" spans="1:16" ht="32" customHeight="1" x14ac:dyDescent="0.35">
      <c r="A104" s="26">
        <v>46204</v>
      </c>
      <c r="B104" s="20" t="s">
        <v>57</v>
      </c>
      <c r="C104" s="20">
        <v>9</v>
      </c>
      <c r="D104" s="20" t="s">
        <v>777</v>
      </c>
      <c r="E104" s="20" t="s">
        <v>39</v>
      </c>
      <c r="F104" s="20" t="s">
        <v>787</v>
      </c>
      <c r="G104" s="29">
        <v>65</v>
      </c>
      <c r="H104" s="29">
        <f t="shared" si="3"/>
        <v>1.0833333333333333</v>
      </c>
      <c r="I104" s="20" t="s">
        <v>601</v>
      </c>
      <c r="J104" s="20" t="s">
        <v>113</v>
      </c>
      <c r="K104" s="20" t="s">
        <v>788</v>
      </c>
      <c r="L104" s="20" t="s">
        <v>685</v>
      </c>
      <c r="M104" s="20" t="s">
        <v>789</v>
      </c>
      <c r="N104" s="20" t="s">
        <v>401</v>
      </c>
      <c r="O104" s="20"/>
      <c r="P104" s="21"/>
    </row>
    <row r="105" spans="1:16" ht="32" customHeight="1" x14ac:dyDescent="0.35">
      <c r="A105" s="26">
        <v>46204</v>
      </c>
      <c r="B105" s="20" t="s">
        <v>57</v>
      </c>
      <c r="C105" s="20">
        <v>9</v>
      </c>
      <c r="D105" s="20" t="s">
        <v>777</v>
      </c>
      <c r="E105" s="20" t="s">
        <v>34</v>
      </c>
      <c r="F105" s="20" t="s">
        <v>560</v>
      </c>
      <c r="G105" s="29">
        <v>30</v>
      </c>
      <c r="H105" s="29">
        <f t="shared" si="3"/>
        <v>0.5</v>
      </c>
      <c r="I105" s="20" t="s">
        <v>396</v>
      </c>
      <c r="J105" s="20" t="s">
        <v>748</v>
      </c>
      <c r="K105" s="20" t="s">
        <v>790</v>
      </c>
      <c r="L105" s="20" t="s">
        <v>511</v>
      </c>
      <c r="M105" s="20" t="s">
        <v>791</v>
      </c>
      <c r="N105" s="20" t="s">
        <v>401</v>
      </c>
      <c r="O105" s="20"/>
      <c r="P105" s="21"/>
    </row>
    <row r="106" spans="1:16" ht="32" customHeight="1" x14ac:dyDescent="0.35">
      <c r="A106" s="26">
        <v>46205</v>
      </c>
      <c r="B106" s="20" t="s">
        <v>62</v>
      </c>
      <c r="C106" s="20">
        <v>9</v>
      </c>
      <c r="D106" s="20" t="s">
        <v>777</v>
      </c>
      <c r="E106" s="20" t="s">
        <v>53</v>
      </c>
      <c r="F106" s="20" t="s">
        <v>792</v>
      </c>
      <c r="G106" s="29">
        <v>80</v>
      </c>
      <c r="H106" s="29">
        <f t="shared" si="3"/>
        <v>1.3333333333333333</v>
      </c>
      <c r="I106" s="20" t="s">
        <v>396</v>
      </c>
      <c r="J106" s="20" t="s">
        <v>793</v>
      </c>
      <c r="K106" s="20" t="s">
        <v>794</v>
      </c>
      <c r="L106" s="20" t="s">
        <v>795</v>
      </c>
      <c r="M106" s="20" t="s">
        <v>796</v>
      </c>
      <c r="N106" s="20" t="s">
        <v>401</v>
      </c>
      <c r="O106" s="20"/>
      <c r="P106" s="21"/>
    </row>
    <row r="107" spans="1:16" ht="32" customHeight="1" x14ac:dyDescent="0.35">
      <c r="A107" s="26">
        <v>46205</v>
      </c>
      <c r="B107" s="20" t="s">
        <v>62</v>
      </c>
      <c r="C107" s="20">
        <v>9</v>
      </c>
      <c r="D107" s="20" t="s">
        <v>777</v>
      </c>
      <c r="E107" s="20" t="s">
        <v>39</v>
      </c>
      <c r="F107" s="20" t="s">
        <v>797</v>
      </c>
      <c r="G107" s="29">
        <v>25</v>
      </c>
      <c r="H107" s="29">
        <f t="shared" si="3"/>
        <v>0.41666666666666669</v>
      </c>
      <c r="I107" s="20" t="s">
        <v>627</v>
      </c>
      <c r="J107" s="20" t="s">
        <v>757</v>
      </c>
      <c r="K107" s="20" t="s">
        <v>798</v>
      </c>
      <c r="L107" s="20" t="s">
        <v>671</v>
      </c>
      <c r="M107" s="20" t="s">
        <v>799</v>
      </c>
      <c r="N107" s="20" t="s">
        <v>401</v>
      </c>
      <c r="O107" s="20"/>
      <c r="P107" s="21"/>
    </row>
    <row r="108" spans="1:16" ht="32" customHeight="1" x14ac:dyDescent="0.35">
      <c r="A108" s="26">
        <v>46206</v>
      </c>
      <c r="B108" s="20" t="s">
        <v>66</v>
      </c>
      <c r="C108" s="20">
        <v>9</v>
      </c>
      <c r="D108" s="20" t="s">
        <v>777</v>
      </c>
      <c r="E108" s="20" t="s">
        <v>46</v>
      </c>
      <c r="F108" s="20" t="s">
        <v>800</v>
      </c>
      <c r="G108" s="29">
        <v>55</v>
      </c>
      <c r="H108" s="29">
        <f t="shared" si="3"/>
        <v>0.91666666666666663</v>
      </c>
      <c r="I108" s="20" t="s">
        <v>761</v>
      </c>
      <c r="J108" s="20" t="s">
        <v>42</v>
      </c>
      <c r="K108" s="20" t="s">
        <v>801</v>
      </c>
      <c r="L108" s="20" t="s">
        <v>396</v>
      </c>
      <c r="M108" s="20" t="s">
        <v>802</v>
      </c>
      <c r="N108" s="20" t="s">
        <v>401</v>
      </c>
      <c r="O108" s="20"/>
      <c r="P108" s="21"/>
    </row>
    <row r="109" spans="1:16" ht="32" customHeight="1" x14ac:dyDescent="0.35">
      <c r="A109" s="26">
        <v>46207</v>
      </c>
      <c r="B109" s="20" t="s">
        <v>73</v>
      </c>
      <c r="C109" s="20">
        <v>9</v>
      </c>
      <c r="D109" s="20" t="s">
        <v>777</v>
      </c>
      <c r="E109" s="20" t="s">
        <v>39</v>
      </c>
      <c r="F109" s="20" t="s">
        <v>475</v>
      </c>
      <c r="G109" s="29">
        <v>90</v>
      </c>
      <c r="H109" s="29">
        <f t="shared" si="3"/>
        <v>1.5</v>
      </c>
      <c r="I109" s="20" t="s">
        <v>765</v>
      </c>
      <c r="J109" s="20" t="s">
        <v>42</v>
      </c>
      <c r="K109" s="20" t="s">
        <v>803</v>
      </c>
      <c r="L109" s="20" t="s">
        <v>804</v>
      </c>
      <c r="M109" s="20" t="s">
        <v>620</v>
      </c>
      <c r="N109" s="20" t="s">
        <v>401</v>
      </c>
      <c r="O109" s="20"/>
      <c r="P109" s="21"/>
    </row>
    <row r="110" spans="1:16" ht="32" customHeight="1" x14ac:dyDescent="0.35">
      <c r="A110" s="26">
        <v>46208</v>
      </c>
      <c r="B110" s="20" t="s">
        <v>77</v>
      </c>
      <c r="C110" s="20">
        <v>9</v>
      </c>
      <c r="D110" s="20" t="s">
        <v>777</v>
      </c>
      <c r="E110" s="20" t="s">
        <v>53</v>
      </c>
      <c r="F110" s="20" t="s">
        <v>805</v>
      </c>
      <c r="G110" s="29">
        <v>160</v>
      </c>
      <c r="H110" s="29">
        <f t="shared" si="3"/>
        <v>2.6666666666666665</v>
      </c>
      <c r="I110" s="20" t="s">
        <v>770</v>
      </c>
      <c r="J110" s="20" t="s">
        <v>806</v>
      </c>
      <c r="K110" s="20" t="s">
        <v>807</v>
      </c>
      <c r="L110" s="20" t="s">
        <v>808</v>
      </c>
      <c r="M110" s="20" t="s">
        <v>809</v>
      </c>
      <c r="N110" s="20" t="s">
        <v>401</v>
      </c>
      <c r="O110" s="20"/>
      <c r="P110" s="21"/>
    </row>
    <row r="111" spans="1:16" ht="32" customHeight="1" x14ac:dyDescent="0.35">
      <c r="A111" s="26">
        <v>46208</v>
      </c>
      <c r="B111" s="20" t="s">
        <v>77</v>
      </c>
      <c r="C111" s="20">
        <v>9</v>
      </c>
      <c r="D111" s="20" t="s">
        <v>777</v>
      </c>
      <c r="E111" s="20" t="s">
        <v>39</v>
      </c>
      <c r="F111" s="20" t="s">
        <v>486</v>
      </c>
      <c r="G111" s="29">
        <v>20</v>
      </c>
      <c r="H111" s="29">
        <f t="shared" si="3"/>
        <v>0.33333333333333331</v>
      </c>
      <c r="I111" s="20" t="s">
        <v>519</v>
      </c>
      <c r="J111" s="20" t="s">
        <v>42</v>
      </c>
      <c r="K111" s="20" t="s">
        <v>810</v>
      </c>
      <c r="L111" s="20" t="s">
        <v>671</v>
      </c>
      <c r="M111" s="20" t="s">
        <v>811</v>
      </c>
      <c r="N111" s="20" t="s">
        <v>401</v>
      </c>
      <c r="O111" s="20"/>
      <c r="P111" s="21"/>
    </row>
    <row r="112" spans="1:16" ht="32" customHeight="1" x14ac:dyDescent="0.35">
      <c r="A112" s="26">
        <v>46209</v>
      </c>
      <c r="B112" s="20" t="s">
        <v>32</v>
      </c>
      <c r="C112" s="20">
        <v>10</v>
      </c>
      <c r="D112" s="20" t="s">
        <v>812</v>
      </c>
      <c r="E112" s="20" t="s">
        <v>301</v>
      </c>
      <c r="F112" s="20" t="s">
        <v>435</v>
      </c>
      <c r="G112" s="29">
        <v>15</v>
      </c>
      <c r="H112" s="29">
        <f t="shared" si="3"/>
        <v>0.25</v>
      </c>
      <c r="I112" s="20" t="s">
        <v>396</v>
      </c>
      <c r="J112" s="20" t="s">
        <v>161</v>
      </c>
      <c r="K112" s="20" t="s">
        <v>813</v>
      </c>
      <c r="L112" s="20" t="s">
        <v>396</v>
      </c>
      <c r="M112" s="20" t="s">
        <v>814</v>
      </c>
      <c r="N112" s="20" t="s">
        <v>401</v>
      </c>
      <c r="O112" s="20"/>
      <c r="P112" s="21"/>
    </row>
    <row r="113" spans="1:16" ht="32" customHeight="1" x14ac:dyDescent="0.35">
      <c r="A113" s="26">
        <v>46210</v>
      </c>
      <c r="B113" s="20" t="s">
        <v>45</v>
      </c>
      <c r="C113" s="20">
        <v>10</v>
      </c>
      <c r="D113" s="20" t="s">
        <v>812</v>
      </c>
      <c r="E113" s="20" t="s">
        <v>46</v>
      </c>
      <c r="F113" s="20" t="s">
        <v>815</v>
      </c>
      <c r="G113" s="29">
        <v>60</v>
      </c>
      <c r="H113" s="29">
        <f t="shared" si="3"/>
        <v>1</v>
      </c>
      <c r="I113" s="20" t="s">
        <v>816</v>
      </c>
      <c r="J113" s="20" t="s">
        <v>677</v>
      </c>
      <c r="K113" s="20" t="s">
        <v>817</v>
      </c>
      <c r="L113" s="20" t="s">
        <v>396</v>
      </c>
      <c r="M113" s="20" t="s">
        <v>818</v>
      </c>
      <c r="N113" s="20" t="s">
        <v>401</v>
      </c>
      <c r="O113" s="20"/>
      <c r="P113" s="21"/>
    </row>
    <row r="114" spans="1:16" ht="32" customHeight="1" x14ac:dyDescent="0.35">
      <c r="A114" s="26">
        <v>46210</v>
      </c>
      <c r="B114" s="20" t="s">
        <v>45</v>
      </c>
      <c r="C114" s="20">
        <v>10</v>
      </c>
      <c r="D114" s="20" t="s">
        <v>812</v>
      </c>
      <c r="E114" s="20" t="s">
        <v>53</v>
      </c>
      <c r="F114" s="20" t="s">
        <v>742</v>
      </c>
      <c r="G114" s="29">
        <v>55</v>
      </c>
      <c r="H114" s="29">
        <f t="shared" si="3"/>
        <v>0.91666666666666663</v>
      </c>
      <c r="I114" s="20" t="s">
        <v>396</v>
      </c>
      <c r="J114" s="20" t="s">
        <v>42</v>
      </c>
      <c r="K114" s="20" t="s">
        <v>819</v>
      </c>
      <c r="L114" s="20" t="s">
        <v>598</v>
      </c>
      <c r="M114" s="20" t="s">
        <v>786</v>
      </c>
      <c r="N114" s="20" t="s">
        <v>401</v>
      </c>
      <c r="O114" s="20"/>
      <c r="P114" s="21"/>
    </row>
    <row r="115" spans="1:16" ht="32" customHeight="1" x14ac:dyDescent="0.35">
      <c r="A115" s="26">
        <v>46211</v>
      </c>
      <c r="B115" s="20" t="s">
        <v>57</v>
      </c>
      <c r="C115" s="20">
        <v>10</v>
      </c>
      <c r="D115" s="20" t="s">
        <v>812</v>
      </c>
      <c r="E115" s="20" t="s">
        <v>39</v>
      </c>
      <c r="F115" s="20" t="s">
        <v>820</v>
      </c>
      <c r="G115" s="29">
        <v>70</v>
      </c>
      <c r="H115" s="29">
        <f t="shared" si="3"/>
        <v>1.1666666666666667</v>
      </c>
      <c r="I115" s="20" t="s">
        <v>642</v>
      </c>
      <c r="J115" s="20" t="s">
        <v>113</v>
      </c>
      <c r="K115" s="20" t="s">
        <v>821</v>
      </c>
      <c r="L115" s="20" t="s">
        <v>822</v>
      </c>
      <c r="M115" s="20" t="s">
        <v>823</v>
      </c>
      <c r="N115" s="20" t="s">
        <v>401</v>
      </c>
      <c r="O115" s="20"/>
      <c r="P115" s="21"/>
    </row>
    <row r="116" spans="1:16" ht="32" customHeight="1" x14ac:dyDescent="0.35">
      <c r="A116" s="26">
        <v>46211</v>
      </c>
      <c r="B116" s="20" t="s">
        <v>57</v>
      </c>
      <c r="C116" s="20">
        <v>10</v>
      </c>
      <c r="D116" s="20" t="s">
        <v>812</v>
      </c>
      <c r="E116" s="20" t="s">
        <v>34</v>
      </c>
      <c r="F116" s="20" t="s">
        <v>824</v>
      </c>
      <c r="G116" s="29">
        <v>30</v>
      </c>
      <c r="H116" s="29">
        <f t="shared" si="3"/>
        <v>0.5</v>
      </c>
      <c r="I116" s="20" t="s">
        <v>396</v>
      </c>
      <c r="J116" s="20" t="s">
        <v>147</v>
      </c>
      <c r="K116" s="20" t="s">
        <v>825</v>
      </c>
      <c r="L116" s="20" t="s">
        <v>511</v>
      </c>
      <c r="M116" s="20" t="s">
        <v>826</v>
      </c>
      <c r="N116" s="20" t="s">
        <v>401</v>
      </c>
      <c r="O116" s="20"/>
      <c r="P116" s="21"/>
    </row>
    <row r="117" spans="1:16" ht="32" customHeight="1" x14ac:dyDescent="0.35">
      <c r="A117" s="26">
        <v>46212</v>
      </c>
      <c r="B117" s="20" t="s">
        <v>62</v>
      </c>
      <c r="C117" s="20">
        <v>10</v>
      </c>
      <c r="D117" s="20" t="s">
        <v>812</v>
      </c>
      <c r="E117" s="20" t="s">
        <v>53</v>
      </c>
      <c r="F117" s="20" t="s">
        <v>827</v>
      </c>
      <c r="G117" s="29">
        <v>80</v>
      </c>
      <c r="H117" s="29">
        <f t="shared" si="3"/>
        <v>1.3333333333333333</v>
      </c>
      <c r="I117" s="20" t="s">
        <v>396</v>
      </c>
      <c r="J117" s="20" t="s">
        <v>828</v>
      </c>
      <c r="K117" s="20" t="s">
        <v>829</v>
      </c>
      <c r="L117" s="20" t="s">
        <v>830</v>
      </c>
      <c r="M117" s="20" t="s">
        <v>831</v>
      </c>
      <c r="N117" s="20" t="s">
        <v>401</v>
      </c>
      <c r="O117" s="20"/>
      <c r="P117" s="21"/>
    </row>
    <row r="118" spans="1:16" ht="32" customHeight="1" x14ac:dyDescent="0.35">
      <c r="A118" s="26">
        <v>46212</v>
      </c>
      <c r="B118" s="20" t="s">
        <v>62</v>
      </c>
      <c r="C118" s="20">
        <v>10</v>
      </c>
      <c r="D118" s="20" t="s">
        <v>812</v>
      </c>
      <c r="E118" s="20" t="s">
        <v>39</v>
      </c>
      <c r="F118" s="20" t="s">
        <v>832</v>
      </c>
      <c r="G118" s="29">
        <v>25</v>
      </c>
      <c r="H118" s="29">
        <f t="shared" si="3"/>
        <v>0.41666666666666669</v>
      </c>
      <c r="I118" s="20" t="s">
        <v>627</v>
      </c>
      <c r="J118" s="20" t="s">
        <v>833</v>
      </c>
      <c r="K118" s="20" t="s">
        <v>834</v>
      </c>
      <c r="L118" s="20" t="s">
        <v>671</v>
      </c>
      <c r="M118" s="20" t="s">
        <v>695</v>
      </c>
      <c r="N118" s="20" t="s">
        <v>401</v>
      </c>
      <c r="O118" s="20"/>
      <c r="P118" s="21"/>
    </row>
    <row r="119" spans="1:16" ht="32" customHeight="1" x14ac:dyDescent="0.35">
      <c r="A119" s="26">
        <v>46213</v>
      </c>
      <c r="B119" s="20" t="s">
        <v>66</v>
      </c>
      <c r="C119" s="20">
        <v>10</v>
      </c>
      <c r="D119" s="20" t="s">
        <v>812</v>
      </c>
      <c r="E119" s="20" t="s">
        <v>46</v>
      </c>
      <c r="F119" s="20" t="s">
        <v>696</v>
      </c>
      <c r="G119" s="29">
        <v>55</v>
      </c>
      <c r="H119" s="29">
        <f t="shared" si="3"/>
        <v>0.91666666666666663</v>
      </c>
      <c r="I119" s="20" t="s">
        <v>676</v>
      </c>
      <c r="J119" s="20" t="s">
        <v>42</v>
      </c>
      <c r="K119" s="20" t="s">
        <v>835</v>
      </c>
      <c r="L119" s="20" t="s">
        <v>396</v>
      </c>
      <c r="M119" s="20" t="s">
        <v>836</v>
      </c>
      <c r="N119" s="20" t="s">
        <v>401</v>
      </c>
      <c r="O119" s="20"/>
      <c r="P119" s="21"/>
    </row>
    <row r="120" spans="1:16" ht="32" customHeight="1" x14ac:dyDescent="0.35">
      <c r="A120" s="26">
        <v>46214</v>
      </c>
      <c r="B120" s="20" t="s">
        <v>73</v>
      </c>
      <c r="C120" s="20">
        <v>10</v>
      </c>
      <c r="D120" s="20" t="s">
        <v>812</v>
      </c>
      <c r="E120" s="20" t="s">
        <v>39</v>
      </c>
      <c r="F120" s="20" t="s">
        <v>837</v>
      </c>
      <c r="G120" s="29">
        <v>90</v>
      </c>
      <c r="H120" s="29">
        <f t="shared" si="3"/>
        <v>1.5</v>
      </c>
      <c r="I120" s="20" t="s">
        <v>765</v>
      </c>
      <c r="J120" s="20" t="s">
        <v>42</v>
      </c>
      <c r="K120" s="20" t="s">
        <v>838</v>
      </c>
      <c r="L120" s="20" t="s">
        <v>804</v>
      </c>
      <c r="M120" s="20" t="s">
        <v>620</v>
      </c>
      <c r="N120" s="20" t="s">
        <v>401</v>
      </c>
      <c r="O120" s="20"/>
      <c r="P120" s="21"/>
    </row>
    <row r="121" spans="1:16" ht="32" customHeight="1" x14ac:dyDescent="0.35">
      <c r="A121" s="26">
        <v>46215</v>
      </c>
      <c r="B121" s="20" t="s">
        <v>77</v>
      </c>
      <c r="C121" s="20">
        <v>10</v>
      </c>
      <c r="D121" s="20" t="s">
        <v>812</v>
      </c>
      <c r="E121" s="20" t="s">
        <v>53</v>
      </c>
      <c r="F121" s="20" t="s">
        <v>701</v>
      </c>
      <c r="G121" s="29">
        <v>160</v>
      </c>
      <c r="H121" s="29">
        <f t="shared" si="3"/>
        <v>2.6666666666666665</v>
      </c>
      <c r="I121" s="20" t="s">
        <v>770</v>
      </c>
      <c r="J121" s="20" t="s">
        <v>839</v>
      </c>
      <c r="K121" s="20" t="s">
        <v>840</v>
      </c>
      <c r="L121" s="20" t="s">
        <v>841</v>
      </c>
      <c r="M121" s="20" t="s">
        <v>842</v>
      </c>
      <c r="N121" s="20" t="s">
        <v>401</v>
      </c>
      <c r="O121" s="20"/>
      <c r="P121" s="21"/>
    </row>
    <row r="122" spans="1:16" ht="32" customHeight="1" x14ac:dyDescent="0.35">
      <c r="A122" s="26">
        <v>46215</v>
      </c>
      <c r="B122" s="20" t="s">
        <v>77</v>
      </c>
      <c r="C122" s="20">
        <v>10</v>
      </c>
      <c r="D122" s="20" t="s">
        <v>812</v>
      </c>
      <c r="E122" s="20" t="s">
        <v>39</v>
      </c>
      <c r="F122" s="20" t="s">
        <v>486</v>
      </c>
      <c r="G122" s="29">
        <v>20</v>
      </c>
      <c r="H122" s="29">
        <f t="shared" si="3"/>
        <v>0.33333333333333331</v>
      </c>
      <c r="I122" s="20" t="s">
        <v>519</v>
      </c>
      <c r="J122" s="20" t="s">
        <v>42</v>
      </c>
      <c r="K122" s="20" t="s">
        <v>843</v>
      </c>
      <c r="L122" s="20" t="s">
        <v>671</v>
      </c>
      <c r="M122" s="20" t="s">
        <v>844</v>
      </c>
      <c r="N122" s="20" t="s">
        <v>401</v>
      </c>
      <c r="O122" s="20"/>
      <c r="P122" s="21"/>
    </row>
    <row r="123" spans="1:16" ht="32" customHeight="1" x14ac:dyDescent="0.35">
      <c r="A123" s="26">
        <v>46216</v>
      </c>
      <c r="B123" s="20" t="s">
        <v>32</v>
      </c>
      <c r="C123" s="20">
        <v>11</v>
      </c>
      <c r="D123" s="20" t="s">
        <v>845</v>
      </c>
      <c r="E123" s="20" t="s">
        <v>301</v>
      </c>
      <c r="F123" s="20" t="s">
        <v>435</v>
      </c>
      <c r="G123" s="29">
        <v>15</v>
      </c>
      <c r="H123" s="29">
        <f t="shared" si="3"/>
        <v>0.25</v>
      </c>
      <c r="I123" s="20" t="s">
        <v>396</v>
      </c>
      <c r="J123" s="20" t="s">
        <v>161</v>
      </c>
      <c r="K123" s="20" t="s">
        <v>778</v>
      </c>
      <c r="L123" s="20" t="s">
        <v>396</v>
      </c>
      <c r="M123" s="20" t="s">
        <v>846</v>
      </c>
      <c r="N123" s="20" t="s">
        <v>401</v>
      </c>
      <c r="O123" s="20"/>
      <c r="P123" s="21"/>
    </row>
    <row r="124" spans="1:16" ht="32" customHeight="1" x14ac:dyDescent="0.35">
      <c r="A124" s="26">
        <v>46217</v>
      </c>
      <c r="B124" s="20" t="s">
        <v>45</v>
      </c>
      <c r="C124" s="20">
        <v>11</v>
      </c>
      <c r="D124" s="20" t="s">
        <v>845</v>
      </c>
      <c r="E124" s="20" t="s">
        <v>46</v>
      </c>
      <c r="F124" s="20" t="s">
        <v>847</v>
      </c>
      <c r="G124" s="29">
        <v>55</v>
      </c>
      <c r="H124" s="29">
        <f t="shared" si="3"/>
        <v>0.91666666666666663</v>
      </c>
      <c r="I124" s="20" t="s">
        <v>761</v>
      </c>
      <c r="J124" s="20" t="s">
        <v>781</v>
      </c>
      <c r="K124" s="20" t="s">
        <v>848</v>
      </c>
      <c r="L124" s="20" t="s">
        <v>396</v>
      </c>
      <c r="M124" s="20" t="s">
        <v>849</v>
      </c>
      <c r="N124" s="20" t="s">
        <v>401</v>
      </c>
      <c r="O124" s="20"/>
      <c r="P124" s="21"/>
    </row>
    <row r="125" spans="1:16" ht="32" customHeight="1" x14ac:dyDescent="0.35">
      <c r="A125" s="26">
        <v>46217</v>
      </c>
      <c r="B125" s="20" t="s">
        <v>45</v>
      </c>
      <c r="C125" s="20">
        <v>11</v>
      </c>
      <c r="D125" s="20" t="s">
        <v>845</v>
      </c>
      <c r="E125" s="20" t="s">
        <v>53</v>
      </c>
      <c r="F125" s="20" t="s">
        <v>850</v>
      </c>
      <c r="G125" s="29">
        <v>50</v>
      </c>
      <c r="H125" s="29">
        <f t="shared" si="3"/>
        <v>0.83333333333333337</v>
      </c>
      <c r="I125" s="20" t="s">
        <v>396</v>
      </c>
      <c r="J125" s="20" t="s">
        <v>42</v>
      </c>
      <c r="K125" s="20" t="s">
        <v>851</v>
      </c>
      <c r="L125" s="20" t="s">
        <v>598</v>
      </c>
      <c r="M125" s="20" t="s">
        <v>852</v>
      </c>
      <c r="N125" s="20" t="s">
        <v>401</v>
      </c>
      <c r="O125" s="20"/>
      <c r="P125" s="21"/>
    </row>
    <row r="126" spans="1:16" ht="32" customHeight="1" x14ac:dyDescent="0.35">
      <c r="A126" s="26">
        <v>46218</v>
      </c>
      <c r="B126" s="20" t="s">
        <v>57</v>
      </c>
      <c r="C126" s="20">
        <v>11</v>
      </c>
      <c r="D126" s="20" t="s">
        <v>845</v>
      </c>
      <c r="E126" s="20" t="s">
        <v>39</v>
      </c>
      <c r="F126" s="20" t="s">
        <v>779</v>
      </c>
      <c r="G126" s="29">
        <v>60</v>
      </c>
      <c r="H126" s="29">
        <f t="shared" si="3"/>
        <v>1</v>
      </c>
      <c r="I126" s="20" t="s">
        <v>853</v>
      </c>
      <c r="J126" s="20" t="s">
        <v>757</v>
      </c>
      <c r="K126" s="20" t="s">
        <v>854</v>
      </c>
      <c r="L126" s="20" t="s">
        <v>855</v>
      </c>
      <c r="M126" s="20" t="s">
        <v>856</v>
      </c>
      <c r="N126" s="20" t="s">
        <v>401</v>
      </c>
      <c r="O126" s="20"/>
      <c r="P126" s="21"/>
    </row>
    <row r="127" spans="1:16" ht="32" customHeight="1" x14ac:dyDescent="0.35">
      <c r="A127" s="26">
        <v>46218</v>
      </c>
      <c r="B127" s="20" t="s">
        <v>57</v>
      </c>
      <c r="C127" s="20">
        <v>11</v>
      </c>
      <c r="D127" s="20" t="s">
        <v>845</v>
      </c>
      <c r="E127" s="20" t="s">
        <v>34</v>
      </c>
      <c r="F127" s="20" t="s">
        <v>857</v>
      </c>
      <c r="G127" s="29">
        <v>25</v>
      </c>
      <c r="H127" s="29">
        <f t="shared" si="3"/>
        <v>0.41666666666666669</v>
      </c>
      <c r="I127" s="20" t="s">
        <v>396</v>
      </c>
      <c r="J127" s="20" t="s">
        <v>413</v>
      </c>
      <c r="K127" s="20" t="s">
        <v>858</v>
      </c>
      <c r="L127" s="20" t="s">
        <v>511</v>
      </c>
      <c r="M127" s="20" t="s">
        <v>859</v>
      </c>
      <c r="N127" s="20" t="s">
        <v>401</v>
      </c>
      <c r="O127" s="20"/>
      <c r="P127" s="21"/>
    </row>
    <row r="128" spans="1:16" ht="32" customHeight="1" x14ac:dyDescent="0.35">
      <c r="A128" s="26">
        <v>46219</v>
      </c>
      <c r="B128" s="20" t="s">
        <v>62</v>
      </c>
      <c r="C128" s="20">
        <v>11</v>
      </c>
      <c r="D128" s="20" t="s">
        <v>845</v>
      </c>
      <c r="E128" s="20" t="s">
        <v>53</v>
      </c>
      <c r="F128" s="20" t="s">
        <v>860</v>
      </c>
      <c r="G128" s="29">
        <v>70</v>
      </c>
      <c r="H128" s="29">
        <f t="shared" si="3"/>
        <v>1.1666666666666667</v>
      </c>
      <c r="I128" s="20" t="s">
        <v>396</v>
      </c>
      <c r="J128" s="20" t="s">
        <v>861</v>
      </c>
      <c r="K128" s="20" t="s">
        <v>862</v>
      </c>
      <c r="L128" s="20" t="s">
        <v>652</v>
      </c>
      <c r="M128" s="20" t="s">
        <v>863</v>
      </c>
      <c r="N128" s="20" t="s">
        <v>401</v>
      </c>
      <c r="O128" s="20"/>
      <c r="P128" s="21"/>
    </row>
    <row r="129" spans="1:16" ht="32" customHeight="1" x14ac:dyDescent="0.35">
      <c r="A129" s="26">
        <v>46219</v>
      </c>
      <c r="B129" s="20" t="s">
        <v>62</v>
      </c>
      <c r="C129" s="20">
        <v>11</v>
      </c>
      <c r="D129" s="20" t="s">
        <v>845</v>
      </c>
      <c r="E129" s="20" t="s">
        <v>39</v>
      </c>
      <c r="F129" s="20" t="s">
        <v>726</v>
      </c>
      <c r="G129" s="29">
        <v>15</v>
      </c>
      <c r="H129" s="29">
        <f t="shared" si="3"/>
        <v>0.25</v>
      </c>
      <c r="I129" s="20" t="s">
        <v>430</v>
      </c>
      <c r="J129" s="20" t="s">
        <v>42</v>
      </c>
      <c r="K129" s="20" t="s">
        <v>98</v>
      </c>
      <c r="L129" s="20" t="s">
        <v>396</v>
      </c>
      <c r="M129" s="20" t="s">
        <v>570</v>
      </c>
      <c r="N129" s="20" t="s">
        <v>401</v>
      </c>
      <c r="O129" s="20"/>
      <c r="P129" s="21"/>
    </row>
    <row r="130" spans="1:16" ht="32" customHeight="1" x14ac:dyDescent="0.35">
      <c r="A130" s="26">
        <v>46220</v>
      </c>
      <c r="B130" s="20" t="s">
        <v>66</v>
      </c>
      <c r="C130" s="20">
        <v>11</v>
      </c>
      <c r="D130" s="20" t="s">
        <v>845</v>
      </c>
      <c r="E130" s="20" t="s">
        <v>46</v>
      </c>
      <c r="F130" s="20" t="s">
        <v>864</v>
      </c>
      <c r="G130" s="29">
        <v>45</v>
      </c>
      <c r="H130" s="29">
        <f t="shared" si="3"/>
        <v>0.75</v>
      </c>
      <c r="I130" s="20" t="s">
        <v>468</v>
      </c>
      <c r="J130" s="20" t="s">
        <v>95</v>
      </c>
      <c r="K130" s="20" t="s">
        <v>865</v>
      </c>
      <c r="L130" s="20" t="s">
        <v>396</v>
      </c>
      <c r="M130" s="20" t="s">
        <v>866</v>
      </c>
      <c r="N130" s="20" t="s">
        <v>401</v>
      </c>
      <c r="O130" s="20"/>
      <c r="P130" s="21"/>
    </row>
    <row r="131" spans="1:16" ht="32" customHeight="1" x14ac:dyDescent="0.35">
      <c r="A131" s="26">
        <v>46221</v>
      </c>
      <c r="B131" s="20" t="s">
        <v>73</v>
      </c>
      <c r="C131" s="20">
        <v>11</v>
      </c>
      <c r="D131" s="20" t="s">
        <v>845</v>
      </c>
      <c r="E131" s="20" t="s">
        <v>301</v>
      </c>
      <c r="F131" s="20" t="s">
        <v>867</v>
      </c>
      <c r="G131" s="29">
        <v>20</v>
      </c>
      <c r="H131" s="29">
        <f t="shared" si="3"/>
        <v>0.33333333333333331</v>
      </c>
      <c r="I131" s="20" t="s">
        <v>396</v>
      </c>
      <c r="J131" s="20" t="s">
        <v>161</v>
      </c>
      <c r="K131" s="20" t="s">
        <v>868</v>
      </c>
      <c r="L131" s="20" t="s">
        <v>869</v>
      </c>
      <c r="M131" s="20" t="s">
        <v>870</v>
      </c>
      <c r="N131" s="20" t="s">
        <v>401</v>
      </c>
      <c r="O131" s="20"/>
      <c r="P131" s="21"/>
    </row>
    <row r="132" spans="1:16" ht="32" customHeight="1" x14ac:dyDescent="0.35">
      <c r="A132" s="26">
        <v>46222</v>
      </c>
      <c r="B132" s="20" t="s">
        <v>77</v>
      </c>
      <c r="C132" s="20">
        <v>11</v>
      </c>
      <c r="D132" s="20" t="s">
        <v>845</v>
      </c>
      <c r="E132" s="20" t="s">
        <v>871</v>
      </c>
      <c r="F132" s="20" t="s">
        <v>872</v>
      </c>
      <c r="G132" s="29">
        <v>290</v>
      </c>
      <c r="H132" s="29">
        <f t="shared" si="3"/>
        <v>4.833333333333333</v>
      </c>
      <c r="I132" s="20" t="s">
        <v>873</v>
      </c>
      <c r="J132" s="20" t="s">
        <v>779</v>
      </c>
      <c r="K132" s="20" t="s">
        <v>874</v>
      </c>
      <c r="L132" s="20" t="s">
        <v>875</v>
      </c>
      <c r="M132" s="20" t="s">
        <v>876</v>
      </c>
      <c r="N132" s="20" t="s">
        <v>401</v>
      </c>
      <c r="O132" s="20"/>
      <c r="P132" s="21"/>
    </row>
    <row r="133" spans="1:16" ht="32" customHeight="1" x14ac:dyDescent="0.35">
      <c r="A133" s="26">
        <v>46223</v>
      </c>
      <c r="B133" s="20" t="s">
        <v>32</v>
      </c>
      <c r="C133" s="20">
        <v>12</v>
      </c>
      <c r="D133" s="20" t="s">
        <v>877</v>
      </c>
      <c r="E133" s="20" t="s">
        <v>301</v>
      </c>
      <c r="F133" s="20" t="s">
        <v>878</v>
      </c>
      <c r="G133" s="29">
        <v>20</v>
      </c>
      <c r="H133" s="29">
        <f t="shared" ref="H133:H164" si="4">G133/60</f>
        <v>0.33333333333333331</v>
      </c>
      <c r="I133" s="20" t="s">
        <v>396</v>
      </c>
      <c r="J133" s="20" t="s">
        <v>161</v>
      </c>
      <c r="K133" s="20" t="s">
        <v>879</v>
      </c>
      <c r="L133" s="20" t="s">
        <v>880</v>
      </c>
      <c r="M133" s="20" t="s">
        <v>881</v>
      </c>
      <c r="N133" s="20" t="s">
        <v>401</v>
      </c>
      <c r="O133" s="20"/>
      <c r="P133" s="21"/>
    </row>
    <row r="134" spans="1:16" ht="32" customHeight="1" x14ac:dyDescent="0.35">
      <c r="A134" s="26">
        <v>46224</v>
      </c>
      <c r="B134" s="20" t="s">
        <v>45</v>
      </c>
      <c r="C134" s="20">
        <v>12</v>
      </c>
      <c r="D134" s="20" t="s">
        <v>877</v>
      </c>
      <c r="E134" s="20" t="s">
        <v>46</v>
      </c>
      <c r="F134" s="20" t="s">
        <v>882</v>
      </c>
      <c r="G134" s="29">
        <v>50</v>
      </c>
      <c r="H134" s="29">
        <f t="shared" si="4"/>
        <v>0.83333333333333337</v>
      </c>
      <c r="I134" s="20" t="s">
        <v>524</v>
      </c>
      <c r="J134" s="20" t="s">
        <v>95</v>
      </c>
      <c r="K134" s="20" t="s">
        <v>883</v>
      </c>
      <c r="L134" s="20" t="s">
        <v>396</v>
      </c>
      <c r="M134" s="20" t="s">
        <v>884</v>
      </c>
      <c r="N134" s="20" t="s">
        <v>401</v>
      </c>
      <c r="O134" s="20"/>
      <c r="P134" s="21"/>
    </row>
    <row r="135" spans="1:16" ht="32" customHeight="1" x14ac:dyDescent="0.35">
      <c r="A135" s="26">
        <v>46224</v>
      </c>
      <c r="B135" s="20" t="s">
        <v>45</v>
      </c>
      <c r="C135" s="20">
        <v>12</v>
      </c>
      <c r="D135" s="20" t="s">
        <v>877</v>
      </c>
      <c r="E135" s="20" t="s">
        <v>53</v>
      </c>
      <c r="F135" s="20" t="s">
        <v>885</v>
      </c>
      <c r="G135" s="29">
        <v>45</v>
      </c>
      <c r="H135" s="29">
        <f t="shared" si="4"/>
        <v>0.75</v>
      </c>
      <c r="I135" s="20" t="s">
        <v>396</v>
      </c>
      <c r="J135" s="20" t="s">
        <v>42</v>
      </c>
      <c r="K135" s="20" t="s">
        <v>886</v>
      </c>
      <c r="L135" s="20" t="s">
        <v>516</v>
      </c>
      <c r="M135" s="20" t="s">
        <v>887</v>
      </c>
      <c r="N135" s="20" t="s">
        <v>401</v>
      </c>
      <c r="O135" s="20"/>
      <c r="P135" s="21"/>
    </row>
    <row r="136" spans="1:16" ht="32" customHeight="1" x14ac:dyDescent="0.35">
      <c r="A136" s="26">
        <v>46225</v>
      </c>
      <c r="B136" s="20" t="s">
        <v>57</v>
      </c>
      <c r="C136" s="20">
        <v>12</v>
      </c>
      <c r="D136" s="20" t="s">
        <v>877</v>
      </c>
      <c r="E136" s="20" t="s">
        <v>39</v>
      </c>
      <c r="F136" s="20" t="s">
        <v>888</v>
      </c>
      <c r="G136" s="29">
        <v>55</v>
      </c>
      <c r="H136" s="29">
        <f t="shared" si="4"/>
        <v>0.91666666666666663</v>
      </c>
      <c r="I136" s="20" t="s">
        <v>717</v>
      </c>
      <c r="J136" s="20" t="s">
        <v>889</v>
      </c>
      <c r="K136" s="20" t="s">
        <v>890</v>
      </c>
      <c r="L136" s="20" t="s">
        <v>855</v>
      </c>
      <c r="M136" s="20" t="s">
        <v>891</v>
      </c>
      <c r="N136" s="20" t="s">
        <v>401</v>
      </c>
      <c r="O136" s="20"/>
      <c r="P136" s="21"/>
    </row>
    <row r="137" spans="1:16" ht="32" customHeight="1" x14ac:dyDescent="0.35">
      <c r="A137" s="26">
        <v>46225</v>
      </c>
      <c r="B137" s="20" t="s">
        <v>57</v>
      </c>
      <c r="C137" s="20">
        <v>12</v>
      </c>
      <c r="D137" s="20" t="s">
        <v>877</v>
      </c>
      <c r="E137" s="20" t="s">
        <v>34</v>
      </c>
      <c r="F137" s="20" t="s">
        <v>719</v>
      </c>
      <c r="G137" s="29">
        <v>20</v>
      </c>
      <c r="H137" s="29">
        <f t="shared" si="4"/>
        <v>0.33333333333333331</v>
      </c>
      <c r="I137" s="20" t="s">
        <v>396</v>
      </c>
      <c r="J137" s="20" t="s">
        <v>892</v>
      </c>
      <c r="K137" s="20" t="s">
        <v>893</v>
      </c>
      <c r="L137" s="20" t="s">
        <v>511</v>
      </c>
      <c r="M137" s="20" t="s">
        <v>894</v>
      </c>
      <c r="N137" s="20" t="s">
        <v>401</v>
      </c>
      <c r="O137" s="20"/>
      <c r="P137" s="21"/>
    </row>
    <row r="138" spans="1:16" ht="32" customHeight="1" x14ac:dyDescent="0.35">
      <c r="A138" s="26">
        <v>46226</v>
      </c>
      <c r="B138" s="20" t="s">
        <v>62</v>
      </c>
      <c r="C138" s="20">
        <v>12</v>
      </c>
      <c r="D138" s="20" t="s">
        <v>877</v>
      </c>
      <c r="E138" s="20" t="s">
        <v>53</v>
      </c>
      <c r="F138" s="20" t="s">
        <v>895</v>
      </c>
      <c r="G138" s="29">
        <v>65</v>
      </c>
      <c r="H138" s="29">
        <f t="shared" si="4"/>
        <v>1.0833333333333333</v>
      </c>
      <c r="I138" s="20" t="s">
        <v>396</v>
      </c>
      <c r="J138" s="20" t="s">
        <v>896</v>
      </c>
      <c r="K138" s="20" t="s">
        <v>897</v>
      </c>
      <c r="L138" s="20" t="s">
        <v>754</v>
      </c>
      <c r="M138" s="20" t="s">
        <v>898</v>
      </c>
      <c r="N138" s="20" t="s">
        <v>401</v>
      </c>
      <c r="O138" s="20"/>
      <c r="P138" s="21"/>
    </row>
    <row r="139" spans="1:16" ht="32" customHeight="1" x14ac:dyDescent="0.35">
      <c r="A139" s="26">
        <v>46226</v>
      </c>
      <c r="B139" s="20" t="s">
        <v>62</v>
      </c>
      <c r="C139" s="20">
        <v>12</v>
      </c>
      <c r="D139" s="20" t="s">
        <v>877</v>
      </c>
      <c r="E139" s="20" t="s">
        <v>39</v>
      </c>
      <c r="F139" s="20" t="s">
        <v>797</v>
      </c>
      <c r="G139" s="29">
        <v>20</v>
      </c>
      <c r="H139" s="29">
        <f t="shared" si="4"/>
        <v>0.33333333333333331</v>
      </c>
      <c r="I139" s="20" t="s">
        <v>487</v>
      </c>
      <c r="J139" s="20" t="s">
        <v>42</v>
      </c>
      <c r="K139" s="20" t="s">
        <v>899</v>
      </c>
      <c r="L139" s="20" t="s">
        <v>671</v>
      </c>
      <c r="M139" s="20" t="s">
        <v>900</v>
      </c>
      <c r="N139" s="20" t="s">
        <v>401</v>
      </c>
      <c r="O139" s="20"/>
      <c r="P139" s="21"/>
    </row>
    <row r="140" spans="1:16" ht="32" customHeight="1" x14ac:dyDescent="0.35">
      <c r="A140" s="26">
        <v>46227</v>
      </c>
      <c r="B140" s="20" t="s">
        <v>66</v>
      </c>
      <c r="C140" s="20">
        <v>12</v>
      </c>
      <c r="D140" s="20" t="s">
        <v>877</v>
      </c>
      <c r="E140" s="20" t="s">
        <v>46</v>
      </c>
      <c r="F140" s="20" t="s">
        <v>901</v>
      </c>
      <c r="G140" s="29">
        <v>45</v>
      </c>
      <c r="H140" s="29">
        <f t="shared" si="4"/>
        <v>0.75</v>
      </c>
      <c r="I140" s="20" t="s">
        <v>468</v>
      </c>
      <c r="J140" s="20" t="s">
        <v>42</v>
      </c>
      <c r="K140" s="20" t="s">
        <v>902</v>
      </c>
      <c r="L140" s="20" t="s">
        <v>396</v>
      </c>
      <c r="M140" s="20" t="s">
        <v>903</v>
      </c>
      <c r="N140" s="20" t="s">
        <v>401</v>
      </c>
      <c r="O140" s="20"/>
      <c r="P140" s="21"/>
    </row>
    <row r="141" spans="1:16" ht="32" customHeight="1" x14ac:dyDescent="0.35">
      <c r="A141" s="26">
        <v>46228</v>
      </c>
      <c r="B141" s="20" t="s">
        <v>73</v>
      </c>
      <c r="C141" s="20">
        <v>12</v>
      </c>
      <c r="D141" s="20" t="s">
        <v>877</v>
      </c>
      <c r="E141" s="20" t="s">
        <v>39</v>
      </c>
      <c r="F141" s="20" t="s">
        <v>904</v>
      </c>
      <c r="G141" s="29">
        <v>70</v>
      </c>
      <c r="H141" s="29">
        <f t="shared" si="4"/>
        <v>1.1666666666666667</v>
      </c>
      <c r="I141" s="20" t="s">
        <v>642</v>
      </c>
      <c r="J141" s="20" t="s">
        <v>42</v>
      </c>
      <c r="K141" s="20" t="s">
        <v>905</v>
      </c>
      <c r="L141" s="20" t="s">
        <v>906</v>
      </c>
      <c r="M141" s="20" t="s">
        <v>907</v>
      </c>
      <c r="N141" s="20" t="s">
        <v>401</v>
      </c>
      <c r="O141" s="20"/>
      <c r="P141" s="21"/>
    </row>
    <row r="142" spans="1:16" ht="32" customHeight="1" x14ac:dyDescent="0.35">
      <c r="A142" s="26">
        <v>46229</v>
      </c>
      <c r="B142" s="20" t="s">
        <v>77</v>
      </c>
      <c r="C142" s="20">
        <v>12</v>
      </c>
      <c r="D142" s="20" t="s">
        <v>877</v>
      </c>
      <c r="E142" s="20" t="s">
        <v>53</v>
      </c>
      <c r="F142" s="20" t="s">
        <v>908</v>
      </c>
      <c r="G142" s="29">
        <v>120</v>
      </c>
      <c r="H142" s="29">
        <f t="shared" si="4"/>
        <v>2</v>
      </c>
      <c r="I142" s="20" t="s">
        <v>909</v>
      </c>
      <c r="J142" s="20" t="s">
        <v>910</v>
      </c>
      <c r="K142" s="20" t="s">
        <v>911</v>
      </c>
      <c r="L142" s="20" t="s">
        <v>668</v>
      </c>
      <c r="M142" s="20" t="s">
        <v>912</v>
      </c>
      <c r="N142" s="20" t="s">
        <v>401</v>
      </c>
      <c r="O142" s="20"/>
      <c r="P142" s="21"/>
    </row>
    <row r="143" spans="1:16" ht="32" customHeight="1" x14ac:dyDescent="0.35">
      <c r="A143" s="26">
        <v>46229</v>
      </c>
      <c r="B143" s="20" t="s">
        <v>77</v>
      </c>
      <c r="C143" s="20">
        <v>12</v>
      </c>
      <c r="D143" s="20" t="s">
        <v>877</v>
      </c>
      <c r="E143" s="20" t="s">
        <v>39</v>
      </c>
      <c r="F143" s="20" t="s">
        <v>726</v>
      </c>
      <c r="G143" s="29">
        <v>15</v>
      </c>
      <c r="H143" s="29">
        <f t="shared" si="4"/>
        <v>0.25</v>
      </c>
      <c r="I143" s="20" t="s">
        <v>430</v>
      </c>
      <c r="J143" s="20" t="s">
        <v>42</v>
      </c>
      <c r="K143" s="20" t="s">
        <v>913</v>
      </c>
      <c r="L143" s="20" t="s">
        <v>396</v>
      </c>
      <c r="M143" s="20" t="s">
        <v>570</v>
      </c>
      <c r="N143" s="20" t="s">
        <v>401</v>
      </c>
      <c r="O143" s="20"/>
      <c r="P143" s="21"/>
    </row>
    <row r="144" spans="1:16" ht="32" customHeight="1" x14ac:dyDescent="0.35">
      <c r="A144" s="26">
        <v>46230</v>
      </c>
      <c r="B144" s="20" t="s">
        <v>32</v>
      </c>
      <c r="C144" s="20">
        <v>13</v>
      </c>
      <c r="D144" s="20" t="s">
        <v>914</v>
      </c>
      <c r="E144" s="20" t="s">
        <v>301</v>
      </c>
      <c r="F144" s="20" t="s">
        <v>915</v>
      </c>
      <c r="G144" s="29">
        <v>20</v>
      </c>
      <c r="H144" s="29">
        <f t="shared" si="4"/>
        <v>0.33333333333333331</v>
      </c>
      <c r="I144" s="20" t="s">
        <v>396</v>
      </c>
      <c r="J144" s="20" t="s">
        <v>161</v>
      </c>
      <c r="K144" s="20" t="s">
        <v>916</v>
      </c>
      <c r="L144" s="20" t="s">
        <v>917</v>
      </c>
      <c r="M144" s="20" t="s">
        <v>918</v>
      </c>
      <c r="N144" s="20" t="s">
        <v>401</v>
      </c>
      <c r="O144" s="20"/>
      <c r="P144" s="21"/>
    </row>
    <row r="145" spans="1:16" ht="32" customHeight="1" x14ac:dyDescent="0.35">
      <c r="A145" s="26">
        <v>46231</v>
      </c>
      <c r="B145" s="20" t="s">
        <v>45</v>
      </c>
      <c r="C145" s="20">
        <v>13</v>
      </c>
      <c r="D145" s="20" t="s">
        <v>914</v>
      </c>
      <c r="E145" s="20" t="s">
        <v>46</v>
      </c>
      <c r="F145" s="20" t="s">
        <v>919</v>
      </c>
      <c r="G145" s="29">
        <v>45</v>
      </c>
      <c r="H145" s="29">
        <f t="shared" si="4"/>
        <v>0.75</v>
      </c>
      <c r="I145" s="20" t="s">
        <v>468</v>
      </c>
      <c r="J145" s="20" t="s">
        <v>42</v>
      </c>
      <c r="K145" s="20" t="s">
        <v>920</v>
      </c>
      <c r="L145" s="20" t="s">
        <v>396</v>
      </c>
      <c r="M145" s="20" t="s">
        <v>921</v>
      </c>
      <c r="N145" s="20" t="s">
        <v>401</v>
      </c>
      <c r="O145" s="20"/>
      <c r="P145" s="21"/>
    </row>
    <row r="146" spans="1:16" ht="32" customHeight="1" x14ac:dyDescent="0.35">
      <c r="A146" s="26">
        <v>46231</v>
      </c>
      <c r="B146" s="20" t="s">
        <v>45</v>
      </c>
      <c r="C146" s="20">
        <v>13</v>
      </c>
      <c r="D146" s="20" t="s">
        <v>914</v>
      </c>
      <c r="E146" s="20" t="s">
        <v>53</v>
      </c>
      <c r="F146" s="20" t="s">
        <v>922</v>
      </c>
      <c r="G146" s="29">
        <v>45</v>
      </c>
      <c r="H146" s="29">
        <f t="shared" si="4"/>
        <v>0.75</v>
      </c>
      <c r="I146" s="20" t="s">
        <v>396</v>
      </c>
      <c r="J146" s="20" t="s">
        <v>923</v>
      </c>
      <c r="K146" s="20" t="s">
        <v>924</v>
      </c>
      <c r="L146" s="20" t="s">
        <v>804</v>
      </c>
      <c r="M146" s="20" t="s">
        <v>925</v>
      </c>
      <c r="N146" s="20" t="s">
        <v>401</v>
      </c>
      <c r="O146" s="20"/>
      <c r="P146" s="21"/>
    </row>
    <row r="147" spans="1:16" ht="32" customHeight="1" x14ac:dyDescent="0.35">
      <c r="A147" s="26">
        <v>46232</v>
      </c>
      <c r="B147" s="20" t="s">
        <v>57</v>
      </c>
      <c r="C147" s="20">
        <v>13</v>
      </c>
      <c r="D147" s="20" t="s">
        <v>914</v>
      </c>
      <c r="E147" s="20" t="s">
        <v>39</v>
      </c>
      <c r="F147" s="20" t="s">
        <v>926</v>
      </c>
      <c r="G147" s="29">
        <v>45</v>
      </c>
      <c r="H147" s="29">
        <f t="shared" si="4"/>
        <v>0.75</v>
      </c>
      <c r="I147" s="20" t="s">
        <v>555</v>
      </c>
      <c r="J147" s="20" t="s">
        <v>927</v>
      </c>
      <c r="K147" s="20" t="s">
        <v>928</v>
      </c>
      <c r="L147" s="20" t="s">
        <v>929</v>
      </c>
      <c r="M147" s="20" t="s">
        <v>930</v>
      </c>
      <c r="N147" s="20" t="s">
        <v>401</v>
      </c>
      <c r="O147" s="20"/>
      <c r="P147" s="21"/>
    </row>
    <row r="148" spans="1:16" ht="32" customHeight="1" x14ac:dyDescent="0.35">
      <c r="A148" s="26">
        <v>46232</v>
      </c>
      <c r="B148" s="20" t="s">
        <v>57</v>
      </c>
      <c r="C148" s="20">
        <v>13</v>
      </c>
      <c r="D148" s="20" t="s">
        <v>914</v>
      </c>
      <c r="E148" s="20" t="s">
        <v>34</v>
      </c>
      <c r="F148" s="20" t="s">
        <v>931</v>
      </c>
      <c r="G148" s="29">
        <v>20</v>
      </c>
      <c r="H148" s="29">
        <f t="shared" si="4"/>
        <v>0.33333333333333331</v>
      </c>
      <c r="I148" s="20" t="s">
        <v>396</v>
      </c>
      <c r="J148" s="20" t="s">
        <v>932</v>
      </c>
      <c r="K148" s="20" t="s">
        <v>933</v>
      </c>
      <c r="L148" s="20" t="s">
        <v>511</v>
      </c>
      <c r="M148" s="20" t="s">
        <v>859</v>
      </c>
      <c r="N148" s="20" t="s">
        <v>401</v>
      </c>
      <c r="O148" s="20"/>
      <c r="P148" s="21"/>
    </row>
    <row r="149" spans="1:16" ht="32" customHeight="1" x14ac:dyDescent="0.35">
      <c r="A149" s="26">
        <v>46233</v>
      </c>
      <c r="B149" s="20" t="s">
        <v>62</v>
      </c>
      <c r="C149" s="20">
        <v>13</v>
      </c>
      <c r="D149" s="20" t="s">
        <v>914</v>
      </c>
      <c r="E149" s="20" t="s">
        <v>53</v>
      </c>
      <c r="F149" s="20" t="s">
        <v>895</v>
      </c>
      <c r="G149" s="29">
        <v>55</v>
      </c>
      <c r="H149" s="29">
        <f t="shared" si="4"/>
        <v>0.91666666666666663</v>
      </c>
      <c r="I149" s="20" t="s">
        <v>396</v>
      </c>
      <c r="J149" s="20" t="s">
        <v>934</v>
      </c>
      <c r="K149" s="20" t="s">
        <v>935</v>
      </c>
      <c r="L149" s="20" t="s">
        <v>652</v>
      </c>
      <c r="M149" s="20" t="s">
        <v>936</v>
      </c>
      <c r="N149" s="20" t="s">
        <v>401</v>
      </c>
      <c r="O149" s="20"/>
      <c r="P149" s="21"/>
    </row>
    <row r="150" spans="1:16" ht="32" customHeight="1" x14ac:dyDescent="0.35">
      <c r="A150" s="26">
        <v>46233</v>
      </c>
      <c r="B150" s="20" t="s">
        <v>62</v>
      </c>
      <c r="C150" s="20">
        <v>13</v>
      </c>
      <c r="D150" s="20" t="s">
        <v>914</v>
      </c>
      <c r="E150" s="20" t="s">
        <v>39</v>
      </c>
      <c r="F150" s="20" t="s">
        <v>726</v>
      </c>
      <c r="G150" s="29">
        <v>15</v>
      </c>
      <c r="H150" s="29">
        <f t="shared" si="4"/>
        <v>0.25</v>
      </c>
      <c r="I150" s="20" t="s">
        <v>430</v>
      </c>
      <c r="J150" s="20" t="s">
        <v>42</v>
      </c>
      <c r="K150" s="20" t="s">
        <v>937</v>
      </c>
      <c r="L150" s="20" t="s">
        <v>396</v>
      </c>
      <c r="M150" s="20" t="s">
        <v>615</v>
      </c>
      <c r="N150" s="20" t="s">
        <v>401</v>
      </c>
      <c r="O150" s="20"/>
      <c r="P150" s="21"/>
    </row>
    <row r="151" spans="1:16" ht="32" customHeight="1" x14ac:dyDescent="0.35">
      <c r="A151" s="26">
        <v>46234</v>
      </c>
      <c r="B151" s="20" t="s">
        <v>66</v>
      </c>
      <c r="C151" s="20">
        <v>13</v>
      </c>
      <c r="D151" s="20" t="s">
        <v>914</v>
      </c>
      <c r="E151" s="20" t="s">
        <v>46</v>
      </c>
      <c r="F151" s="20" t="s">
        <v>938</v>
      </c>
      <c r="G151" s="29">
        <v>40</v>
      </c>
      <c r="H151" s="29">
        <f t="shared" si="4"/>
        <v>0.66666666666666663</v>
      </c>
      <c r="I151" s="20" t="s">
        <v>572</v>
      </c>
      <c r="J151" s="20" t="s">
        <v>95</v>
      </c>
      <c r="K151" s="20" t="s">
        <v>939</v>
      </c>
      <c r="L151" s="20" t="s">
        <v>396</v>
      </c>
      <c r="M151" s="20" t="s">
        <v>940</v>
      </c>
      <c r="N151" s="20" t="s">
        <v>401</v>
      </c>
      <c r="O151" s="20"/>
      <c r="P151" s="21"/>
    </row>
    <row r="152" spans="1:16" ht="32" customHeight="1" x14ac:dyDescent="0.35">
      <c r="A152" s="26">
        <v>46235</v>
      </c>
      <c r="B152" s="20" t="s">
        <v>73</v>
      </c>
      <c r="C152" s="20">
        <v>13</v>
      </c>
      <c r="D152" s="20" t="s">
        <v>914</v>
      </c>
      <c r="E152" s="20" t="s">
        <v>39</v>
      </c>
      <c r="F152" s="20" t="s">
        <v>850</v>
      </c>
      <c r="G152" s="29">
        <v>55</v>
      </c>
      <c r="H152" s="29">
        <f t="shared" si="4"/>
        <v>0.91666666666666663</v>
      </c>
      <c r="I152" s="20" t="s">
        <v>717</v>
      </c>
      <c r="J152" s="20" t="s">
        <v>42</v>
      </c>
      <c r="K152" s="20" t="s">
        <v>941</v>
      </c>
      <c r="L152" s="20" t="s">
        <v>396</v>
      </c>
      <c r="M152" s="20" t="s">
        <v>942</v>
      </c>
      <c r="N152" s="20" t="s">
        <v>401</v>
      </c>
      <c r="O152" s="20"/>
      <c r="P152" s="21"/>
    </row>
    <row r="153" spans="1:16" ht="32" customHeight="1" x14ac:dyDescent="0.35">
      <c r="A153" s="26">
        <v>46236</v>
      </c>
      <c r="B153" s="20" t="s">
        <v>77</v>
      </c>
      <c r="C153" s="20">
        <v>13</v>
      </c>
      <c r="D153" s="20" t="s">
        <v>914</v>
      </c>
      <c r="E153" s="20" t="s">
        <v>53</v>
      </c>
      <c r="F153" s="20" t="s">
        <v>943</v>
      </c>
      <c r="G153" s="29">
        <v>85</v>
      </c>
      <c r="H153" s="29">
        <f t="shared" si="4"/>
        <v>1.4166666666666667</v>
      </c>
      <c r="I153" s="20" t="s">
        <v>944</v>
      </c>
      <c r="J153" s="20" t="s">
        <v>945</v>
      </c>
      <c r="K153" s="20" t="s">
        <v>946</v>
      </c>
      <c r="L153" s="20" t="s">
        <v>947</v>
      </c>
      <c r="M153" s="20" t="s">
        <v>948</v>
      </c>
      <c r="N153" s="20" t="s">
        <v>401</v>
      </c>
      <c r="O153" s="20"/>
      <c r="P153" s="21"/>
    </row>
    <row r="154" spans="1:16" ht="32" customHeight="1" x14ac:dyDescent="0.35">
      <c r="A154" s="26">
        <v>46236</v>
      </c>
      <c r="B154" s="20" t="s">
        <v>77</v>
      </c>
      <c r="C154" s="20">
        <v>13</v>
      </c>
      <c r="D154" s="20" t="s">
        <v>914</v>
      </c>
      <c r="E154" s="20" t="s">
        <v>39</v>
      </c>
      <c r="F154" s="20" t="s">
        <v>733</v>
      </c>
      <c r="G154" s="29">
        <v>10</v>
      </c>
      <c r="H154" s="29">
        <f t="shared" si="4"/>
        <v>0.16666666666666666</v>
      </c>
      <c r="I154" s="20" t="s">
        <v>585</v>
      </c>
      <c r="J154" s="20" t="s">
        <v>315</v>
      </c>
      <c r="K154" s="20" t="s">
        <v>949</v>
      </c>
      <c r="L154" s="20" t="s">
        <v>396</v>
      </c>
      <c r="M154" s="20" t="s">
        <v>570</v>
      </c>
      <c r="N154" s="20" t="s">
        <v>401</v>
      </c>
      <c r="O154" s="20"/>
      <c r="P154" s="21"/>
    </row>
    <row r="155" spans="1:16" ht="32" customHeight="1" x14ac:dyDescent="0.35">
      <c r="A155" s="26">
        <v>46237</v>
      </c>
      <c r="B155" s="20" t="s">
        <v>32</v>
      </c>
      <c r="C155" s="20">
        <v>14</v>
      </c>
      <c r="D155" s="20" t="s">
        <v>950</v>
      </c>
      <c r="E155" s="20" t="s">
        <v>301</v>
      </c>
      <c r="F155" s="20" t="s">
        <v>435</v>
      </c>
      <c r="G155" s="29">
        <v>15</v>
      </c>
      <c r="H155" s="29">
        <f t="shared" si="4"/>
        <v>0.25</v>
      </c>
      <c r="I155" s="20" t="s">
        <v>396</v>
      </c>
      <c r="J155" s="20" t="s">
        <v>161</v>
      </c>
      <c r="K155" s="20" t="s">
        <v>951</v>
      </c>
      <c r="L155" s="20" t="s">
        <v>952</v>
      </c>
      <c r="M155" s="20" t="s">
        <v>866</v>
      </c>
      <c r="N155" s="20" t="s">
        <v>401</v>
      </c>
      <c r="O155" s="20"/>
      <c r="P155" s="21"/>
    </row>
    <row r="156" spans="1:16" ht="32" customHeight="1" x14ac:dyDescent="0.35">
      <c r="A156" s="26">
        <v>46238</v>
      </c>
      <c r="B156" s="20" t="s">
        <v>45</v>
      </c>
      <c r="C156" s="20">
        <v>14</v>
      </c>
      <c r="D156" s="20" t="s">
        <v>950</v>
      </c>
      <c r="E156" s="20" t="s">
        <v>46</v>
      </c>
      <c r="F156" s="20" t="s">
        <v>953</v>
      </c>
      <c r="G156" s="29">
        <v>35</v>
      </c>
      <c r="H156" s="29">
        <f t="shared" si="4"/>
        <v>0.58333333333333337</v>
      </c>
      <c r="I156" s="20" t="s">
        <v>954</v>
      </c>
      <c r="J156" s="20" t="s">
        <v>955</v>
      </c>
      <c r="K156" s="20" t="s">
        <v>956</v>
      </c>
      <c r="L156" s="20" t="s">
        <v>396</v>
      </c>
      <c r="M156" s="20" t="s">
        <v>957</v>
      </c>
      <c r="N156" s="20" t="s">
        <v>401</v>
      </c>
      <c r="O156" s="20"/>
      <c r="P156" s="21"/>
    </row>
    <row r="157" spans="1:16" ht="32" customHeight="1" x14ac:dyDescent="0.35">
      <c r="A157" s="26">
        <v>46238</v>
      </c>
      <c r="B157" s="20" t="s">
        <v>45</v>
      </c>
      <c r="C157" s="20">
        <v>14</v>
      </c>
      <c r="D157" s="20" t="s">
        <v>950</v>
      </c>
      <c r="E157" s="20" t="s">
        <v>53</v>
      </c>
      <c r="F157" s="20" t="s">
        <v>958</v>
      </c>
      <c r="G157" s="29">
        <v>35</v>
      </c>
      <c r="H157" s="29">
        <f t="shared" si="4"/>
        <v>0.58333333333333337</v>
      </c>
      <c r="I157" s="20" t="s">
        <v>396</v>
      </c>
      <c r="J157" s="20" t="s">
        <v>959</v>
      </c>
      <c r="K157" s="20" t="s">
        <v>960</v>
      </c>
      <c r="L157" s="20" t="s">
        <v>598</v>
      </c>
      <c r="M157" s="20" t="s">
        <v>961</v>
      </c>
      <c r="N157" s="20" t="s">
        <v>401</v>
      </c>
      <c r="O157" s="20"/>
      <c r="P157" s="21"/>
    </row>
    <row r="158" spans="1:16" ht="32" customHeight="1" x14ac:dyDescent="0.35">
      <c r="A158" s="26">
        <v>46239</v>
      </c>
      <c r="B158" s="20" t="s">
        <v>57</v>
      </c>
      <c r="C158" s="20">
        <v>14</v>
      </c>
      <c r="D158" s="20" t="s">
        <v>950</v>
      </c>
      <c r="E158" s="20" t="s">
        <v>39</v>
      </c>
      <c r="F158" s="20" t="s">
        <v>962</v>
      </c>
      <c r="G158" s="29">
        <v>35</v>
      </c>
      <c r="H158" s="29">
        <f t="shared" si="4"/>
        <v>0.58333333333333337</v>
      </c>
      <c r="I158" s="20" t="s">
        <v>963</v>
      </c>
      <c r="J158" s="20" t="s">
        <v>556</v>
      </c>
      <c r="K158" s="20" t="s">
        <v>964</v>
      </c>
      <c r="L158" s="20" t="s">
        <v>396</v>
      </c>
      <c r="M158" s="20" t="s">
        <v>965</v>
      </c>
      <c r="N158" s="20" t="s">
        <v>401</v>
      </c>
      <c r="O158" s="20"/>
      <c r="P158" s="21"/>
    </row>
    <row r="159" spans="1:16" ht="32" customHeight="1" x14ac:dyDescent="0.35">
      <c r="A159" s="26">
        <v>46240</v>
      </c>
      <c r="B159" s="20" t="s">
        <v>62</v>
      </c>
      <c r="C159" s="20">
        <v>14</v>
      </c>
      <c r="D159" s="20" t="s">
        <v>950</v>
      </c>
      <c r="E159" s="20" t="s">
        <v>46</v>
      </c>
      <c r="F159" s="20" t="s">
        <v>966</v>
      </c>
      <c r="G159" s="29">
        <v>30</v>
      </c>
      <c r="H159" s="29">
        <f t="shared" si="4"/>
        <v>0.5</v>
      </c>
      <c r="I159" s="20" t="s">
        <v>967</v>
      </c>
      <c r="J159" s="20" t="s">
        <v>95</v>
      </c>
      <c r="K159" s="20" t="s">
        <v>968</v>
      </c>
      <c r="L159" s="20" t="s">
        <v>396</v>
      </c>
      <c r="M159" s="20" t="s">
        <v>802</v>
      </c>
      <c r="N159" s="20" t="s">
        <v>401</v>
      </c>
      <c r="O159" s="20"/>
      <c r="P159" s="21"/>
    </row>
    <row r="160" spans="1:16" ht="32" customHeight="1" x14ac:dyDescent="0.35">
      <c r="A160" s="26">
        <v>46240</v>
      </c>
      <c r="B160" s="20" t="s">
        <v>62</v>
      </c>
      <c r="C160" s="20">
        <v>14</v>
      </c>
      <c r="D160" s="20" t="s">
        <v>950</v>
      </c>
      <c r="E160" s="20" t="s">
        <v>53</v>
      </c>
      <c r="F160" s="20" t="s">
        <v>969</v>
      </c>
      <c r="G160" s="29">
        <v>30</v>
      </c>
      <c r="H160" s="29">
        <f t="shared" si="4"/>
        <v>0.5</v>
      </c>
      <c r="I160" s="20" t="s">
        <v>396</v>
      </c>
      <c r="J160" s="20" t="s">
        <v>970</v>
      </c>
      <c r="K160" s="20" t="s">
        <v>971</v>
      </c>
      <c r="L160" s="20" t="s">
        <v>972</v>
      </c>
      <c r="M160" s="20" t="s">
        <v>973</v>
      </c>
      <c r="N160" s="20" t="s">
        <v>401</v>
      </c>
      <c r="O160" s="20"/>
      <c r="P160" s="21"/>
    </row>
    <row r="161" spans="1:16" ht="32" customHeight="1" x14ac:dyDescent="0.35">
      <c r="A161" s="26">
        <v>46241</v>
      </c>
      <c r="B161" s="20" t="s">
        <v>66</v>
      </c>
      <c r="C161" s="20">
        <v>14</v>
      </c>
      <c r="D161" s="20" t="s">
        <v>950</v>
      </c>
      <c r="E161" s="20" t="s">
        <v>301</v>
      </c>
      <c r="F161" s="20" t="s">
        <v>974</v>
      </c>
      <c r="G161" s="29">
        <v>20</v>
      </c>
      <c r="H161" s="29">
        <f t="shared" si="4"/>
        <v>0.33333333333333331</v>
      </c>
      <c r="I161" s="20" t="s">
        <v>396</v>
      </c>
      <c r="J161" s="20" t="s">
        <v>161</v>
      </c>
      <c r="K161" s="20" t="s">
        <v>975</v>
      </c>
      <c r="L161" s="20" t="s">
        <v>976</v>
      </c>
      <c r="M161" s="20" t="s">
        <v>977</v>
      </c>
      <c r="N161" s="20" t="s">
        <v>401</v>
      </c>
      <c r="O161" s="20"/>
      <c r="P161" s="21"/>
    </row>
    <row r="162" spans="1:16" ht="32" customHeight="1" x14ac:dyDescent="0.35">
      <c r="A162" s="26">
        <v>46242</v>
      </c>
      <c r="B162" s="20" t="s">
        <v>73</v>
      </c>
      <c r="C162" s="20">
        <v>14</v>
      </c>
      <c r="D162" s="20" t="s">
        <v>950</v>
      </c>
      <c r="E162" s="20" t="s">
        <v>46</v>
      </c>
      <c r="F162" s="20" t="s">
        <v>978</v>
      </c>
      <c r="G162" s="29">
        <v>20</v>
      </c>
      <c r="H162" s="29">
        <f t="shared" si="4"/>
        <v>0.33333333333333331</v>
      </c>
      <c r="I162" s="20" t="s">
        <v>979</v>
      </c>
      <c r="J162" s="20" t="s">
        <v>980</v>
      </c>
      <c r="K162" s="20" t="s">
        <v>981</v>
      </c>
      <c r="L162" s="20" t="s">
        <v>982</v>
      </c>
      <c r="M162" s="20" t="s">
        <v>983</v>
      </c>
      <c r="N162" s="20" t="s">
        <v>401</v>
      </c>
      <c r="O162" s="20"/>
      <c r="P162" s="21"/>
    </row>
    <row r="163" spans="1:16" ht="32" customHeight="1" x14ac:dyDescent="0.35">
      <c r="A163" s="26">
        <v>46242</v>
      </c>
      <c r="B163" s="20" t="s">
        <v>73</v>
      </c>
      <c r="C163" s="20">
        <v>14</v>
      </c>
      <c r="D163" s="20" t="s">
        <v>950</v>
      </c>
      <c r="E163" s="20" t="s">
        <v>53</v>
      </c>
      <c r="F163" s="20" t="s">
        <v>984</v>
      </c>
      <c r="G163" s="29">
        <v>20</v>
      </c>
      <c r="H163" s="29">
        <f t="shared" si="4"/>
        <v>0.33333333333333331</v>
      </c>
      <c r="I163" s="20" t="s">
        <v>396</v>
      </c>
      <c r="J163" s="20" t="s">
        <v>980</v>
      </c>
      <c r="K163" s="20" t="s">
        <v>985</v>
      </c>
      <c r="L163" s="20" t="s">
        <v>396</v>
      </c>
      <c r="M163" s="20" t="s">
        <v>986</v>
      </c>
      <c r="N163" s="20" t="s">
        <v>401</v>
      </c>
      <c r="O163" s="20"/>
      <c r="P163" s="21"/>
    </row>
    <row r="164" spans="1:16" ht="32" customHeight="1" x14ac:dyDescent="0.35">
      <c r="A164" s="26">
        <v>46242</v>
      </c>
      <c r="B164" s="20" t="s">
        <v>73</v>
      </c>
      <c r="C164" s="20">
        <v>14</v>
      </c>
      <c r="D164" s="20" t="s">
        <v>950</v>
      </c>
      <c r="E164" s="20" t="s">
        <v>39</v>
      </c>
      <c r="F164" s="20" t="s">
        <v>987</v>
      </c>
      <c r="G164" s="29">
        <v>10</v>
      </c>
      <c r="H164" s="29">
        <f t="shared" si="4"/>
        <v>0.16666666666666666</v>
      </c>
      <c r="I164" s="20" t="s">
        <v>988</v>
      </c>
      <c r="J164" s="20" t="s">
        <v>980</v>
      </c>
      <c r="K164" s="20" t="s">
        <v>989</v>
      </c>
      <c r="L164" s="20" t="s">
        <v>396</v>
      </c>
      <c r="M164" s="20" t="s">
        <v>990</v>
      </c>
      <c r="N164" s="20" t="s">
        <v>401</v>
      </c>
      <c r="O164" s="20"/>
      <c r="P164" s="21"/>
    </row>
    <row r="165" spans="1:16" ht="32" customHeight="1" x14ac:dyDescent="0.35">
      <c r="A165" s="27">
        <v>46243</v>
      </c>
      <c r="B165" s="23" t="s">
        <v>77</v>
      </c>
      <c r="C165" s="23">
        <v>14</v>
      </c>
      <c r="D165" s="23" t="s">
        <v>950</v>
      </c>
      <c r="E165" s="23" t="s">
        <v>155</v>
      </c>
      <c r="F165" s="23" t="s">
        <v>991</v>
      </c>
      <c r="G165" s="30">
        <v>331</v>
      </c>
      <c r="H165" s="30">
        <f t="shared" ref="H165:H196" si="5">G165/60</f>
        <v>5.5166666666666666</v>
      </c>
      <c r="I165" s="23" t="s">
        <v>992</v>
      </c>
      <c r="J165" s="23" t="s">
        <v>993</v>
      </c>
      <c r="K165" s="23" t="s">
        <v>994</v>
      </c>
      <c r="L165" s="23" t="s">
        <v>995</v>
      </c>
      <c r="M165" s="23" t="s">
        <v>996</v>
      </c>
      <c r="N165" s="23" t="s">
        <v>401</v>
      </c>
      <c r="O165" s="23"/>
      <c r="P165" s="24"/>
    </row>
  </sheetData>
  <mergeCells count="2">
    <mergeCell ref="A1:P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/>
  </sheetViews>
  <sheetFormatPr baseColWidth="10" defaultColWidth="8.7265625" defaultRowHeight="14.5" x14ac:dyDescent="0.35"/>
  <cols>
    <col min="1" max="1" width="18" customWidth="1"/>
    <col min="2" max="2" width="14" customWidth="1"/>
    <col min="3" max="3" width="28" customWidth="1"/>
    <col min="4" max="4" width="12" customWidth="1"/>
    <col min="5" max="5" width="10" customWidth="1"/>
    <col min="6" max="6" width="44" customWidth="1"/>
  </cols>
  <sheetData>
    <row r="1" spans="1:6" ht="39" customHeight="1" x14ac:dyDescent="0.35">
      <c r="A1" s="51" t="s">
        <v>997</v>
      </c>
      <c r="B1" s="52"/>
      <c r="C1" s="52"/>
      <c r="D1" s="52"/>
      <c r="E1" s="52"/>
      <c r="F1" s="53"/>
    </row>
    <row r="2" spans="1:6" ht="16.25" customHeight="1" x14ac:dyDescent="0.35">
      <c r="A2" s="31" t="s">
        <v>998</v>
      </c>
      <c r="B2" s="40">
        <v>46243</v>
      </c>
      <c r="C2" s="32" t="s">
        <v>999</v>
      </c>
      <c r="D2" s="32" t="s">
        <v>1000</v>
      </c>
      <c r="E2" s="32" t="s">
        <v>1001</v>
      </c>
      <c r="F2" s="33">
        <v>46142</v>
      </c>
    </row>
    <row r="3" spans="1:6" ht="16.25" customHeight="1" x14ac:dyDescent="0.35">
      <c r="A3" s="34" t="s">
        <v>1002</v>
      </c>
      <c r="B3" s="35" t="s">
        <v>1003</v>
      </c>
      <c r="C3" s="35" t="s">
        <v>1004</v>
      </c>
      <c r="D3" s="35" t="s">
        <v>1005</v>
      </c>
      <c r="E3" s="35" t="s">
        <v>1006</v>
      </c>
      <c r="F3" s="36" t="s">
        <v>1007</v>
      </c>
    </row>
    <row r="4" spans="1:6" ht="24.4" customHeight="1" x14ac:dyDescent="0.35">
      <c r="A4" s="19" t="s">
        <v>1008</v>
      </c>
      <c r="B4" s="20" t="s">
        <v>1009</v>
      </c>
      <c r="C4" s="20" t="s">
        <v>1010</v>
      </c>
      <c r="D4" s="20" t="s">
        <v>1011</v>
      </c>
      <c r="E4" s="20" t="s">
        <v>1012</v>
      </c>
      <c r="F4" s="21" t="s">
        <v>1013</v>
      </c>
    </row>
    <row r="5" spans="1:6" ht="10" customHeight="1" x14ac:dyDescent="0.35">
      <c r="A5" s="19" t="s">
        <v>1014</v>
      </c>
      <c r="B5" s="20" t="s">
        <v>1015</v>
      </c>
      <c r="C5" s="20" t="s">
        <v>396</v>
      </c>
      <c r="D5" s="20" t="s">
        <v>1016</v>
      </c>
      <c r="E5" s="20" t="s">
        <v>1017</v>
      </c>
      <c r="F5" s="21" t="s">
        <v>1018</v>
      </c>
    </row>
    <row r="6" spans="1:6" ht="32.5" customHeight="1" x14ac:dyDescent="0.35">
      <c r="A6" s="19" t="s">
        <v>1019</v>
      </c>
      <c r="B6" s="20" t="s">
        <v>1020</v>
      </c>
      <c r="C6" s="20" t="s">
        <v>1021</v>
      </c>
      <c r="D6" s="20" t="s">
        <v>1022</v>
      </c>
      <c r="E6" s="20" t="s">
        <v>1023</v>
      </c>
      <c r="F6" s="21" t="s">
        <v>1024</v>
      </c>
    </row>
    <row r="7" spans="1:6" ht="16.25" customHeight="1" x14ac:dyDescent="0.35">
      <c r="A7" s="19" t="s">
        <v>1025</v>
      </c>
      <c r="B7" s="20" t="s">
        <v>1026</v>
      </c>
      <c r="C7" s="20" t="s">
        <v>396</v>
      </c>
      <c r="D7" s="20" t="s">
        <v>1027</v>
      </c>
      <c r="E7" s="20" t="s">
        <v>1028</v>
      </c>
      <c r="F7" s="21" t="s">
        <v>1029</v>
      </c>
    </row>
    <row r="8" spans="1:6" ht="32.5" customHeight="1" x14ac:dyDescent="0.35">
      <c r="A8" s="19" t="s">
        <v>1030</v>
      </c>
      <c r="B8" s="20" t="s">
        <v>1031</v>
      </c>
      <c r="C8" s="20" t="s">
        <v>1032</v>
      </c>
      <c r="D8" s="20" t="s">
        <v>1033</v>
      </c>
      <c r="E8" s="20" t="s">
        <v>1034</v>
      </c>
      <c r="F8" s="21" t="s">
        <v>1035</v>
      </c>
    </row>
    <row r="9" spans="1:6" ht="10" customHeight="1" x14ac:dyDescent="0.35">
      <c r="A9" s="19"/>
      <c r="B9" s="20"/>
      <c r="C9" s="20"/>
      <c r="D9" s="20"/>
      <c r="E9" s="20"/>
      <c r="F9" s="21"/>
    </row>
    <row r="10" spans="1:6" ht="10" customHeight="1" x14ac:dyDescent="0.35">
      <c r="A10" s="37" t="s">
        <v>1036</v>
      </c>
      <c r="B10" s="38" t="s">
        <v>1037</v>
      </c>
      <c r="C10" s="38"/>
      <c r="D10" s="38"/>
      <c r="E10" s="38"/>
      <c r="F10" s="39"/>
    </row>
    <row r="11" spans="1:6" ht="48.75" customHeight="1" x14ac:dyDescent="0.35">
      <c r="A11" s="19" t="s">
        <v>1038</v>
      </c>
      <c r="B11" s="20" t="s">
        <v>1039</v>
      </c>
      <c r="C11" s="20"/>
      <c r="D11" s="20"/>
      <c r="E11" s="20"/>
      <c r="F11" s="21"/>
    </row>
    <row r="12" spans="1:6" ht="56.9" customHeight="1" x14ac:dyDescent="0.35">
      <c r="A12" s="19" t="s">
        <v>1040</v>
      </c>
      <c r="B12" s="20" t="s">
        <v>1041</v>
      </c>
      <c r="C12" s="20"/>
      <c r="D12" s="20"/>
      <c r="E12" s="20"/>
      <c r="F12" s="21"/>
    </row>
    <row r="13" spans="1:6" ht="56.9" customHeight="1" x14ac:dyDescent="0.35">
      <c r="A13" s="19" t="s">
        <v>1042</v>
      </c>
      <c r="B13" s="20" t="s">
        <v>1043</v>
      </c>
      <c r="C13" s="20"/>
      <c r="D13" s="20"/>
      <c r="E13" s="20"/>
      <c r="F13" s="21"/>
    </row>
    <row r="14" spans="1:6" ht="48.75" customHeight="1" x14ac:dyDescent="0.35">
      <c r="A14" s="19" t="s">
        <v>1044</v>
      </c>
      <c r="B14" s="20" t="s">
        <v>1045</v>
      </c>
      <c r="C14" s="20"/>
      <c r="D14" s="20"/>
      <c r="E14" s="20"/>
      <c r="F14" s="21"/>
    </row>
    <row r="15" spans="1:6" ht="65.150000000000006" customHeight="1" x14ac:dyDescent="0.35">
      <c r="A15" s="19" t="s">
        <v>1046</v>
      </c>
      <c r="B15" s="20" t="s">
        <v>1047</v>
      </c>
      <c r="C15" s="20"/>
      <c r="D15" s="20"/>
      <c r="E15" s="20"/>
      <c r="F15" s="21"/>
    </row>
    <row r="16" spans="1:6" ht="48.75" customHeight="1" x14ac:dyDescent="0.35">
      <c r="A16" s="19" t="s">
        <v>1048</v>
      </c>
      <c r="B16" s="20" t="s">
        <v>1049</v>
      </c>
      <c r="C16" s="20"/>
      <c r="D16" s="20"/>
      <c r="E16" s="20"/>
      <c r="F16" s="21"/>
    </row>
    <row r="17" spans="1:6" ht="10" customHeight="1" x14ac:dyDescent="0.35">
      <c r="A17" s="19"/>
      <c r="B17" s="20"/>
      <c r="C17" s="20"/>
      <c r="D17" s="20"/>
      <c r="E17" s="20"/>
      <c r="F17" s="21"/>
    </row>
    <row r="18" spans="1:6" ht="10" customHeight="1" x14ac:dyDescent="0.35">
      <c r="A18" s="37" t="s">
        <v>1050</v>
      </c>
      <c r="B18" s="38"/>
      <c r="C18" s="38"/>
      <c r="D18" s="38"/>
      <c r="E18" s="38"/>
      <c r="F18" s="39"/>
    </row>
    <row r="19" spans="1:6" ht="10" customHeight="1" x14ac:dyDescent="0.35">
      <c r="A19" s="34" t="s">
        <v>6</v>
      </c>
      <c r="B19" s="35" t="s">
        <v>319</v>
      </c>
      <c r="C19" s="35" t="s">
        <v>13</v>
      </c>
      <c r="D19" s="35" t="s">
        <v>321</v>
      </c>
      <c r="E19" s="35" t="s">
        <v>1051</v>
      </c>
      <c r="F19" s="36" t="s">
        <v>1052</v>
      </c>
    </row>
    <row r="20" spans="1:6" ht="10" customHeight="1" x14ac:dyDescent="0.35">
      <c r="A20" s="19">
        <v>0</v>
      </c>
      <c r="B20" s="41">
        <v>46142</v>
      </c>
      <c r="C20" s="20" t="s">
        <v>394</v>
      </c>
      <c r="D20" s="29">
        <v>4.666666666666667</v>
      </c>
      <c r="E20" s="20">
        <v>7</v>
      </c>
      <c r="F20" s="21" t="s">
        <v>1053</v>
      </c>
    </row>
    <row r="21" spans="1:6" ht="10" customHeight="1" x14ac:dyDescent="0.35">
      <c r="A21" s="19">
        <v>1</v>
      </c>
      <c r="B21" s="41">
        <v>46146</v>
      </c>
      <c r="C21" s="20" t="s">
        <v>434</v>
      </c>
      <c r="D21" s="29">
        <v>10.083333333333334</v>
      </c>
      <c r="E21" s="20">
        <v>12</v>
      </c>
      <c r="F21" s="21" t="s">
        <v>1054</v>
      </c>
    </row>
    <row r="22" spans="1:6" ht="10" customHeight="1" x14ac:dyDescent="0.35">
      <c r="A22" s="19">
        <v>2</v>
      </c>
      <c r="B22" s="41">
        <v>46153</v>
      </c>
      <c r="C22" s="20" t="s">
        <v>491</v>
      </c>
      <c r="D22" s="29">
        <v>10.583333333333334</v>
      </c>
      <c r="E22" s="20">
        <v>11</v>
      </c>
      <c r="F22" s="21" t="s">
        <v>1055</v>
      </c>
    </row>
    <row r="23" spans="1:6" ht="10" customHeight="1" x14ac:dyDescent="0.35">
      <c r="A23" s="19">
        <v>3</v>
      </c>
      <c r="B23" s="41">
        <v>46160</v>
      </c>
      <c r="C23" s="20" t="s">
        <v>542</v>
      </c>
      <c r="D23" s="29">
        <v>8.3333333333333339</v>
      </c>
      <c r="E23" s="20">
        <v>11</v>
      </c>
      <c r="F23" s="21" t="s">
        <v>1056</v>
      </c>
    </row>
    <row r="24" spans="1:6" ht="10" customHeight="1" x14ac:dyDescent="0.35">
      <c r="A24" s="19">
        <v>4</v>
      </c>
      <c r="B24" s="41">
        <v>46167</v>
      </c>
      <c r="C24" s="20" t="s">
        <v>588</v>
      </c>
      <c r="D24" s="29">
        <v>10.916666666666666</v>
      </c>
      <c r="E24" s="20">
        <v>11</v>
      </c>
      <c r="F24" s="21" t="s">
        <v>1057</v>
      </c>
    </row>
    <row r="25" spans="1:6" ht="10" customHeight="1" x14ac:dyDescent="0.35">
      <c r="A25" s="19">
        <v>5</v>
      </c>
      <c r="B25" s="41">
        <v>46174</v>
      </c>
      <c r="C25" s="20" t="s">
        <v>631</v>
      </c>
      <c r="D25" s="29">
        <v>10.916666666666666</v>
      </c>
      <c r="E25" s="20">
        <v>11</v>
      </c>
      <c r="F25" s="21" t="s">
        <v>1058</v>
      </c>
    </row>
    <row r="26" spans="1:6" ht="10" customHeight="1" x14ac:dyDescent="0.35">
      <c r="A26" s="19">
        <v>6</v>
      </c>
      <c r="B26" s="41">
        <v>46181</v>
      </c>
      <c r="C26" s="20" t="s">
        <v>673</v>
      </c>
      <c r="D26" s="29">
        <v>11</v>
      </c>
      <c r="E26" s="20">
        <v>11</v>
      </c>
      <c r="F26" s="21" t="s">
        <v>1059</v>
      </c>
    </row>
    <row r="27" spans="1:6" ht="10" customHeight="1" x14ac:dyDescent="0.35">
      <c r="A27" s="19">
        <v>7</v>
      </c>
      <c r="B27" s="41">
        <v>46188</v>
      </c>
      <c r="C27" s="20" t="s">
        <v>190</v>
      </c>
      <c r="D27" s="29">
        <v>8.4166666666666661</v>
      </c>
      <c r="E27" s="20">
        <v>11</v>
      </c>
      <c r="F27" s="21" t="s">
        <v>1060</v>
      </c>
    </row>
    <row r="28" spans="1:6" ht="10" customHeight="1" x14ac:dyDescent="0.35">
      <c r="A28" s="19">
        <v>8</v>
      </c>
      <c r="B28" s="41">
        <v>46195</v>
      </c>
      <c r="C28" s="20" t="s">
        <v>736</v>
      </c>
      <c r="D28" s="29">
        <v>10.833333333333334</v>
      </c>
      <c r="E28" s="20">
        <v>11</v>
      </c>
      <c r="F28" s="21" t="s">
        <v>1061</v>
      </c>
    </row>
    <row r="29" spans="1:6" ht="10" customHeight="1" x14ac:dyDescent="0.35">
      <c r="A29" s="19">
        <v>9</v>
      </c>
      <c r="B29" s="41">
        <v>46202</v>
      </c>
      <c r="C29" s="20" t="s">
        <v>777</v>
      </c>
      <c r="D29" s="29">
        <v>10.916666666666666</v>
      </c>
      <c r="E29" s="20">
        <v>11</v>
      </c>
      <c r="F29" s="21" t="s">
        <v>1062</v>
      </c>
    </row>
    <row r="30" spans="1:6" ht="10" customHeight="1" x14ac:dyDescent="0.35">
      <c r="A30" s="19">
        <v>10</v>
      </c>
      <c r="B30" s="41">
        <v>46209</v>
      </c>
      <c r="C30" s="20" t="s">
        <v>812</v>
      </c>
      <c r="D30" s="29">
        <v>11</v>
      </c>
      <c r="E30" s="20">
        <v>11</v>
      </c>
      <c r="F30" s="21" t="s">
        <v>1063</v>
      </c>
    </row>
    <row r="31" spans="1:6" ht="10" customHeight="1" x14ac:dyDescent="0.35">
      <c r="A31" s="19">
        <v>11</v>
      </c>
      <c r="B31" s="41">
        <v>46216</v>
      </c>
      <c r="C31" s="20" t="s">
        <v>845</v>
      </c>
      <c r="D31" s="29">
        <v>10.75</v>
      </c>
      <c r="E31" s="20">
        <v>10</v>
      </c>
      <c r="F31" s="21" t="s">
        <v>1064</v>
      </c>
    </row>
    <row r="32" spans="1:6" ht="10" customHeight="1" x14ac:dyDescent="0.35">
      <c r="A32" s="19">
        <v>12</v>
      </c>
      <c r="B32" s="41">
        <v>46223</v>
      </c>
      <c r="C32" s="20" t="s">
        <v>877</v>
      </c>
      <c r="D32" s="29">
        <v>8.75</v>
      </c>
      <c r="E32" s="20">
        <v>11</v>
      </c>
      <c r="F32" s="21" t="s">
        <v>1065</v>
      </c>
    </row>
    <row r="33" spans="1:6" ht="10" customHeight="1" x14ac:dyDescent="0.35">
      <c r="A33" s="19">
        <v>13</v>
      </c>
      <c r="B33" s="41">
        <v>46230</v>
      </c>
      <c r="C33" s="20" t="s">
        <v>914</v>
      </c>
      <c r="D33" s="29">
        <v>7.25</v>
      </c>
      <c r="E33" s="20">
        <v>11</v>
      </c>
      <c r="F33" s="21" t="s">
        <v>1066</v>
      </c>
    </row>
    <row r="34" spans="1:6" ht="10" customHeight="1" x14ac:dyDescent="0.35">
      <c r="A34" s="22">
        <v>14</v>
      </c>
      <c r="B34" s="42">
        <v>46237</v>
      </c>
      <c r="C34" s="23" t="s">
        <v>950</v>
      </c>
      <c r="D34" s="30">
        <v>9.6833333333333336</v>
      </c>
      <c r="E34" s="23">
        <v>11</v>
      </c>
      <c r="F34" s="24" t="s">
        <v>1067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baseColWidth="10" defaultColWidth="8.7265625" defaultRowHeight="14.5" x14ac:dyDescent="0.35"/>
  <cols>
    <col min="1" max="1" width="22" customWidth="1"/>
    <col min="2" max="3" width="46" customWidth="1"/>
    <col min="4" max="4" width="38" customWidth="1"/>
  </cols>
  <sheetData>
    <row r="1" spans="1:4" ht="39" customHeight="1" x14ac:dyDescent="0.35">
      <c r="A1" s="54" t="s">
        <v>1068</v>
      </c>
      <c r="B1" s="55"/>
      <c r="C1" s="55"/>
      <c r="D1" s="56"/>
    </row>
    <row r="2" spans="1:4" ht="10" customHeight="1" x14ac:dyDescent="0.35">
      <c r="A2" s="34" t="s">
        <v>1069</v>
      </c>
      <c r="B2" s="35" t="s">
        <v>1070</v>
      </c>
      <c r="C2" s="35" t="s">
        <v>1071</v>
      </c>
      <c r="D2" s="36" t="s">
        <v>333</v>
      </c>
    </row>
    <row r="3" spans="1:4" ht="16.25" customHeight="1" x14ac:dyDescent="0.35">
      <c r="A3" s="19" t="s">
        <v>1072</v>
      </c>
      <c r="B3" s="20" t="s">
        <v>1073</v>
      </c>
      <c r="C3" s="20" t="s">
        <v>1074</v>
      </c>
      <c r="D3" s="21" t="s">
        <v>1075</v>
      </c>
    </row>
    <row r="4" spans="1:4" ht="16.25" customHeight="1" x14ac:dyDescent="0.35">
      <c r="A4" s="19" t="s">
        <v>1076</v>
      </c>
      <c r="B4" s="20" t="s">
        <v>1077</v>
      </c>
      <c r="C4" s="20" t="s">
        <v>1078</v>
      </c>
      <c r="D4" s="21" t="s">
        <v>1079</v>
      </c>
    </row>
    <row r="5" spans="1:4" ht="16.25" customHeight="1" x14ac:dyDescent="0.35">
      <c r="A5" s="19" t="s">
        <v>1080</v>
      </c>
      <c r="B5" s="20" t="s">
        <v>1081</v>
      </c>
      <c r="C5" s="20" t="s">
        <v>1082</v>
      </c>
      <c r="D5" s="21" t="s">
        <v>1083</v>
      </c>
    </row>
    <row r="6" spans="1:4" ht="16.25" customHeight="1" x14ac:dyDescent="0.35">
      <c r="A6" s="19" t="s">
        <v>1084</v>
      </c>
      <c r="B6" s="20" t="s">
        <v>1085</v>
      </c>
      <c r="C6" s="20" t="s">
        <v>1086</v>
      </c>
      <c r="D6" s="21" t="s">
        <v>1087</v>
      </c>
    </row>
    <row r="7" spans="1:4" ht="16.25" customHeight="1" x14ac:dyDescent="0.35">
      <c r="A7" s="19" t="s">
        <v>1088</v>
      </c>
      <c r="B7" s="20" t="s">
        <v>1089</v>
      </c>
      <c r="C7" s="20" t="s">
        <v>1090</v>
      </c>
      <c r="D7" s="21" t="s">
        <v>1091</v>
      </c>
    </row>
    <row r="8" spans="1:4" ht="16.25" customHeight="1" x14ac:dyDescent="0.35">
      <c r="A8" s="19" t="s">
        <v>1034</v>
      </c>
      <c r="B8" s="20" t="s">
        <v>1092</v>
      </c>
      <c r="C8" s="20" t="s">
        <v>1093</v>
      </c>
      <c r="D8" s="21" t="s">
        <v>1094</v>
      </c>
    </row>
    <row r="9" spans="1:4" ht="16.25" customHeight="1" x14ac:dyDescent="0.35">
      <c r="A9" s="19" t="s">
        <v>1095</v>
      </c>
      <c r="B9" s="20" t="s">
        <v>1096</v>
      </c>
      <c r="C9" s="20" t="s">
        <v>1097</v>
      </c>
      <c r="D9" s="21" t="s">
        <v>1098</v>
      </c>
    </row>
    <row r="10" spans="1:4" ht="16.25" customHeight="1" x14ac:dyDescent="0.35">
      <c r="A10" s="19" t="s">
        <v>1099</v>
      </c>
      <c r="B10" s="20" t="s">
        <v>1100</v>
      </c>
      <c r="C10" s="20" t="s">
        <v>1101</v>
      </c>
      <c r="D10" s="21" t="s">
        <v>1102</v>
      </c>
    </row>
    <row r="11" spans="1:4" ht="16.25" customHeight="1" x14ac:dyDescent="0.35">
      <c r="A11" s="19" t="s">
        <v>1103</v>
      </c>
      <c r="B11" s="20" t="s">
        <v>1104</v>
      </c>
      <c r="C11" s="20" t="s">
        <v>1105</v>
      </c>
      <c r="D11" s="21" t="s">
        <v>1106</v>
      </c>
    </row>
    <row r="12" spans="1:4" ht="16.25" customHeight="1" x14ac:dyDescent="0.35">
      <c r="A12" s="19" t="s">
        <v>1107</v>
      </c>
      <c r="B12" s="20" t="s">
        <v>1108</v>
      </c>
      <c r="C12" s="20" t="s">
        <v>1109</v>
      </c>
      <c r="D12" s="21" t="s">
        <v>1110</v>
      </c>
    </row>
    <row r="13" spans="1:4" ht="16.25" customHeight="1" x14ac:dyDescent="0.35">
      <c r="A13" s="22" t="s">
        <v>1111</v>
      </c>
      <c r="B13" s="23" t="s">
        <v>1112</v>
      </c>
      <c r="C13" s="23" t="s">
        <v>1113</v>
      </c>
      <c r="D13" s="24" t="s">
        <v>1114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/>
  </sheetViews>
  <sheetFormatPr baseColWidth="10" defaultColWidth="8.7265625" defaultRowHeight="14.5" x14ac:dyDescent="0.35"/>
  <cols>
    <col min="1" max="1" width="28" customWidth="1"/>
    <col min="2" max="2" width="48" customWidth="1"/>
    <col min="3" max="3" width="80" customWidth="1"/>
  </cols>
  <sheetData>
    <row r="1" spans="1:3" ht="10" customHeight="1" x14ac:dyDescent="0.35">
      <c r="A1" s="43" t="s">
        <v>1115</v>
      </c>
      <c r="B1" s="44" t="s">
        <v>1116</v>
      </c>
      <c r="C1" s="45" t="s">
        <v>1117</v>
      </c>
    </row>
    <row r="2" spans="1:3" ht="10" customHeight="1" x14ac:dyDescent="0.35">
      <c r="A2" s="19" t="s">
        <v>1118</v>
      </c>
      <c r="B2" s="20" t="s">
        <v>1119</v>
      </c>
      <c r="C2" s="21" t="s">
        <v>1120</v>
      </c>
    </row>
    <row r="3" spans="1:3" ht="10" customHeight="1" x14ac:dyDescent="0.35">
      <c r="A3" s="19" t="s">
        <v>1121</v>
      </c>
      <c r="B3" s="20" t="s">
        <v>1122</v>
      </c>
      <c r="C3" s="21" t="s">
        <v>1123</v>
      </c>
    </row>
    <row r="4" spans="1:3" ht="16.25" customHeight="1" x14ac:dyDescent="0.35">
      <c r="A4" s="19" t="s">
        <v>1124</v>
      </c>
      <c r="B4" s="20" t="s">
        <v>1125</v>
      </c>
      <c r="C4" s="21" t="s">
        <v>1126</v>
      </c>
    </row>
    <row r="5" spans="1:3" ht="16.25" customHeight="1" x14ac:dyDescent="0.35">
      <c r="A5" s="19" t="s">
        <v>280</v>
      </c>
      <c r="B5" s="20" t="s">
        <v>1127</v>
      </c>
      <c r="C5" s="21" t="s">
        <v>1128</v>
      </c>
    </row>
    <row r="6" spans="1:3" ht="10" customHeight="1" x14ac:dyDescent="0.35">
      <c r="A6" s="19" t="s">
        <v>1129</v>
      </c>
      <c r="B6" s="20" t="s">
        <v>1130</v>
      </c>
      <c r="C6" s="21" t="s">
        <v>1131</v>
      </c>
    </row>
    <row r="7" spans="1:3" ht="10" customHeight="1" x14ac:dyDescent="0.35">
      <c r="A7" s="19" t="s">
        <v>1132</v>
      </c>
      <c r="B7" s="20" t="s">
        <v>1133</v>
      </c>
      <c r="C7" s="21" t="s">
        <v>1134</v>
      </c>
    </row>
    <row r="8" spans="1:3" ht="10" customHeight="1" x14ac:dyDescent="0.35">
      <c r="A8" s="19" t="s">
        <v>1135</v>
      </c>
      <c r="B8" s="20" t="s">
        <v>1136</v>
      </c>
      <c r="C8" s="21" t="s">
        <v>1137</v>
      </c>
    </row>
    <row r="9" spans="1:3" ht="10" customHeight="1" x14ac:dyDescent="0.35">
      <c r="A9" s="19" t="s">
        <v>1138</v>
      </c>
      <c r="B9" s="20" t="s">
        <v>1139</v>
      </c>
      <c r="C9" s="21" t="s">
        <v>1140</v>
      </c>
    </row>
    <row r="10" spans="1:3" ht="10" customHeight="1" x14ac:dyDescent="0.35">
      <c r="A10" s="19" t="s">
        <v>1141</v>
      </c>
      <c r="B10" s="20" t="s">
        <v>1142</v>
      </c>
      <c r="C10" s="21" t="s">
        <v>1143</v>
      </c>
    </row>
    <row r="11" spans="1:3" ht="10" customHeight="1" x14ac:dyDescent="0.35">
      <c r="A11" s="19" t="s">
        <v>1095</v>
      </c>
      <c r="B11" s="20" t="s">
        <v>1144</v>
      </c>
      <c r="C11" s="21" t="s">
        <v>1145</v>
      </c>
    </row>
    <row r="12" spans="1:3" ht="16.25" customHeight="1" x14ac:dyDescent="0.35">
      <c r="A12" s="19" t="s">
        <v>1146</v>
      </c>
      <c r="B12" s="20" t="s">
        <v>1147</v>
      </c>
      <c r="C12" s="21" t="s">
        <v>1148</v>
      </c>
    </row>
    <row r="13" spans="1:3" ht="10" customHeight="1" x14ac:dyDescent="0.35">
      <c r="A13" s="22" t="s">
        <v>1149</v>
      </c>
      <c r="B13" s="23" t="s">
        <v>1150</v>
      </c>
      <c r="C13" s="24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Plan diario</vt:lpstr>
      <vt:lpstr>Semanas</vt:lpstr>
      <vt:lpstr>Tests &amp; Resultados</vt:lpstr>
      <vt:lpstr>Zonas &amp; Notas</vt:lpstr>
      <vt:lpstr>Plan Rio ajustado</vt:lpstr>
      <vt:lpstr>Resumen 70.3</vt:lpstr>
      <vt:lpstr>Nutrición y pacing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Ruiz</cp:lastModifiedBy>
  <dcterms:modified xsi:type="dcterms:W3CDTF">2026-04-29T21:43:09Z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19711c-a297-4d3a-a5d0-920ebb5eb3d4_Enabled">
    <vt:lpwstr>true</vt:lpwstr>
  </property>
  <property fmtid="{D5CDD505-2E9C-101B-9397-08002B2CF9AE}" pid="3" name="MSIP_Label_4619711c-a297-4d3a-a5d0-920ebb5eb3d4_SetDate">
    <vt:lpwstr>2026-04-29T21:42:44Z</vt:lpwstr>
  </property>
  <property fmtid="{D5CDD505-2E9C-101B-9397-08002B2CF9AE}" pid="4" name="MSIP_Label_4619711c-a297-4d3a-a5d0-920ebb5eb3d4_Method">
    <vt:lpwstr>Privileged</vt:lpwstr>
  </property>
  <property fmtid="{D5CDD505-2E9C-101B-9397-08002B2CF9AE}" pid="5" name="MSIP_Label_4619711c-a297-4d3a-a5d0-920ebb5eb3d4_Name">
    <vt:lpwstr>Uso Público</vt:lpwstr>
  </property>
  <property fmtid="{D5CDD505-2E9C-101B-9397-08002B2CF9AE}" pid="6" name="MSIP_Label_4619711c-a297-4d3a-a5d0-920ebb5eb3d4_SiteId">
    <vt:lpwstr>cab7ea42-4a21-4548-952f-fcde81f2bdd6</vt:lpwstr>
  </property>
  <property fmtid="{D5CDD505-2E9C-101B-9397-08002B2CF9AE}" pid="7" name="MSIP_Label_4619711c-a297-4d3a-a5d0-920ebb5eb3d4_ActionId">
    <vt:lpwstr>6cfc0073-b554-49c6-90c3-97c607c20d43</vt:lpwstr>
  </property>
  <property fmtid="{D5CDD505-2E9C-101B-9397-08002B2CF9AE}" pid="8" name="MSIP_Label_4619711c-a297-4d3a-a5d0-920ebb5eb3d4_ContentBits">
    <vt:lpwstr>0</vt:lpwstr>
  </property>
  <property fmtid="{D5CDD505-2E9C-101B-9397-08002B2CF9AE}" pid="9" name="MSIP_Label_4619711c-a297-4d3a-a5d0-920ebb5eb3d4_Tag">
    <vt:lpwstr>10, 0, 1, 1</vt:lpwstr>
  </property>
</Properties>
</file>